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/Users/robertliollio/Library/CloudStorage/OneDrive-Personal/"/>
    </mc:Choice>
  </mc:AlternateContent>
  <xr:revisionPtr revIDLastSave="0" documentId="8_{08CCE5E4-A160-4151-A0FC-29D62DAA080B}" xr6:coauthVersionLast="47" xr6:coauthVersionMax="47" xr10:uidLastSave="{00000000-0000-0000-0000-000000000000}"/>
  <bookViews>
    <workbookView xWindow="0" yWindow="680" windowWidth="34200" windowHeight="20060" xr2:uid="{07D85BDA-63E4-4E48-82DD-53E14E00110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9" i="1" l="1"/>
  <c r="AC59" i="1"/>
  <c r="AD56" i="1"/>
  <c r="AC56" i="1"/>
  <c r="AD58" i="1"/>
  <c r="AC58" i="1"/>
  <c r="AD57" i="1"/>
  <c r="AC57" i="1"/>
  <c r="AD55" i="1"/>
  <c r="AC55" i="1"/>
  <c r="AE59" i="1"/>
  <c r="AE58" i="1"/>
  <c r="AE57" i="1"/>
  <c r="AE55" i="1"/>
  <c r="Y56" i="1"/>
  <c r="Y57" i="1"/>
  <c r="Y58" i="1"/>
  <c r="X58" i="1"/>
  <c r="X55" i="1"/>
  <c r="X56" i="1"/>
  <c r="X57" i="1"/>
  <c r="Z57" i="1" s="1"/>
  <c r="Y59" i="1"/>
  <c r="X59" i="1"/>
  <c r="Y55" i="1"/>
  <c r="U63" i="1"/>
  <c r="AC49" i="1" s="1"/>
  <c r="T63" i="1"/>
  <c r="Y48" i="1" s="1"/>
  <c r="S63" i="1"/>
  <c r="Q63" i="1"/>
  <c r="AC51" i="1" s="1"/>
  <c r="P63" i="1"/>
  <c r="O63" i="1"/>
  <c r="X49" i="1" s="1"/>
  <c r="M63" i="1"/>
  <c r="AC48" i="1" s="1"/>
  <c r="L63" i="1"/>
  <c r="K63" i="1"/>
  <c r="X47" i="1" s="1"/>
  <c r="I63" i="1"/>
  <c r="AC50" i="1" s="1"/>
  <c r="H63" i="1"/>
  <c r="G63" i="1"/>
  <c r="X50" i="1" s="1"/>
  <c r="E63" i="1"/>
  <c r="AC47" i="1"/>
  <c r="D63" i="1"/>
  <c r="Y51" i="1" s="1"/>
  <c r="C63" i="1"/>
  <c r="X51" i="1" s="1"/>
  <c r="G42" i="1"/>
  <c r="X26" i="1" s="1"/>
  <c r="H42" i="1"/>
  <c r="Y26" i="1"/>
  <c r="I42" i="1"/>
  <c r="AC29" i="1"/>
  <c r="U42" i="1"/>
  <c r="AC30" i="1"/>
  <c r="T42" i="1"/>
  <c r="Y30" i="1" s="1"/>
  <c r="S42" i="1"/>
  <c r="X30" i="1" s="1"/>
  <c r="Q42" i="1"/>
  <c r="AC28" i="1" s="1"/>
  <c r="P42" i="1"/>
  <c r="Y29" i="1"/>
  <c r="O42" i="1"/>
  <c r="X29" i="1"/>
  <c r="M42" i="1"/>
  <c r="AC27" i="1"/>
  <c r="L42" i="1"/>
  <c r="Y28" i="1" s="1"/>
  <c r="K42" i="1"/>
  <c r="X28" i="1" s="1"/>
  <c r="Z28" i="1" s="1"/>
  <c r="U21" i="1"/>
  <c r="U22" i="1" s="1"/>
  <c r="T21" i="1"/>
  <c r="T22" i="1" s="1"/>
  <c r="S21" i="1"/>
  <c r="S22" i="1" s="1"/>
  <c r="Q21" i="1"/>
  <c r="AC10" i="1" s="1"/>
  <c r="Q22" i="1"/>
  <c r="Q43" i="1" s="1"/>
  <c r="P21" i="1"/>
  <c r="P22" i="1" s="1"/>
  <c r="P43" i="1" s="1"/>
  <c r="O21" i="1"/>
  <c r="O22" i="1" s="1"/>
  <c r="M21" i="1"/>
  <c r="AC8" i="1" s="1"/>
  <c r="L21" i="1"/>
  <c r="Y9" i="1" s="1"/>
  <c r="K21" i="1"/>
  <c r="K22" i="1" s="1"/>
  <c r="K43" i="1" s="1"/>
  <c r="I21" i="1"/>
  <c r="I22" i="1" s="1"/>
  <c r="I43" i="1" s="1"/>
  <c r="H21" i="1"/>
  <c r="Y7" i="1" s="1"/>
  <c r="G21" i="1"/>
  <c r="X7" i="1" s="1"/>
  <c r="E21" i="1"/>
  <c r="AC7" i="1" s="1"/>
  <c r="D21" i="1"/>
  <c r="Y10" i="1" s="1"/>
  <c r="C21" i="1"/>
  <c r="X10" i="1" s="1"/>
  <c r="X6" i="1"/>
  <c r="Z29" i="1"/>
  <c r="D42" i="1"/>
  <c r="Y27" i="1" s="1"/>
  <c r="Z27" i="1" s="1"/>
  <c r="C42" i="1"/>
  <c r="E42" i="1"/>
  <c r="X27" i="1"/>
  <c r="AC26" i="1"/>
  <c r="C22" i="1" l="1"/>
  <c r="C43" i="1" s="1"/>
  <c r="AE56" i="1"/>
  <c r="Z59" i="1"/>
  <c r="Z26" i="1"/>
  <c r="AC9" i="1"/>
  <c r="Z56" i="1"/>
  <c r="Z55" i="1"/>
  <c r="Z58" i="1"/>
  <c r="Z30" i="1"/>
  <c r="H22" i="1"/>
  <c r="H43" i="1" s="1"/>
  <c r="H64" i="1" s="1"/>
  <c r="AG6" i="1" s="1"/>
  <c r="Z10" i="1"/>
  <c r="M22" i="1"/>
  <c r="M43" i="1" s="1"/>
  <c r="M64" i="1" s="1"/>
  <c r="AK7" i="1" s="1"/>
  <c r="I64" i="1"/>
  <c r="AK9" i="1" s="1"/>
  <c r="Q64" i="1"/>
  <c r="AK10" i="1" s="1"/>
  <c r="T43" i="1"/>
  <c r="T64" i="1" s="1"/>
  <c r="AG10" i="1" s="1"/>
  <c r="U43" i="1"/>
  <c r="U64" i="1" s="1"/>
  <c r="AK8" i="1" s="1"/>
  <c r="E22" i="1"/>
  <c r="E43" i="1" s="1"/>
  <c r="E64" i="1" s="1"/>
  <c r="AK6" i="1" s="1"/>
  <c r="S43" i="1"/>
  <c r="S64" i="1" s="1"/>
  <c r="AF10" i="1" s="1"/>
  <c r="C64" i="1"/>
  <c r="AF8" i="1" s="1"/>
  <c r="Z7" i="1"/>
  <c r="O43" i="1"/>
  <c r="O64" i="1" s="1"/>
  <c r="AF9" i="1" s="1"/>
  <c r="D22" i="1"/>
  <c r="D43" i="1" s="1"/>
  <c r="D64" i="1" s="1"/>
  <c r="AG8" i="1" s="1"/>
  <c r="AC6" i="1"/>
  <c r="X8" i="1"/>
  <c r="Y6" i="1"/>
  <c r="Z6" i="1" s="1"/>
  <c r="X9" i="1"/>
  <c r="Z9" i="1" s="1"/>
  <c r="Y8" i="1"/>
  <c r="G22" i="1"/>
  <c r="G43" i="1" s="1"/>
  <c r="G64" i="1" s="1"/>
  <c r="AF6" i="1" s="1"/>
  <c r="P64" i="1"/>
  <c r="AG9" i="1" s="1"/>
  <c r="L22" i="1"/>
  <c r="L43" i="1" s="1"/>
  <c r="L64" i="1" s="1"/>
  <c r="AG7" i="1" s="1"/>
  <c r="X48" i="1"/>
  <c r="Z48" i="1" s="1"/>
  <c r="Y49" i="1"/>
  <c r="Z49" i="1" s="1"/>
  <c r="Z51" i="1"/>
  <c r="Y50" i="1"/>
  <c r="Z50" i="1" s="1"/>
  <c r="Y47" i="1"/>
  <c r="Z47" i="1" s="1"/>
  <c r="K64" i="1"/>
  <c r="AF7" i="1" s="1"/>
  <c r="AM4" i="1" l="1"/>
  <c r="AH6" i="1"/>
  <c r="AH8" i="1"/>
  <c r="AH10" i="1"/>
  <c r="AH9" i="1"/>
  <c r="AH7" i="1"/>
  <c r="Z8" i="1"/>
</calcChain>
</file>

<file path=xl/sharedStrings.xml><?xml version="1.0" encoding="utf-8"?>
<sst xmlns="http://schemas.openxmlformats.org/spreadsheetml/2006/main" count="307" uniqueCount="40">
  <si>
    <t>JP</t>
  </si>
  <si>
    <t>Jack</t>
  </si>
  <si>
    <t>Robert</t>
  </si>
  <si>
    <t>Jackson</t>
  </si>
  <si>
    <t>Michael</t>
  </si>
  <si>
    <t>2023 Standings</t>
  </si>
  <si>
    <t>All-Time Standings</t>
  </si>
  <si>
    <t>Total Games</t>
  </si>
  <si>
    <t>Week</t>
  </si>
  <si>
    <t>Win</t>
  </si>
  <si>
    <t>Losses</t>
  </si>
  <si>
    <t>Superdawg</t>
  </si>
  <si>
    <t>Record</t>
  </si>
  <si>
    <t>Superdog</t>
  </si>
  <si>
    <t>-</t>
  </si>
  <si>
    <t>Name</t>
  </si>
  <si>
    <t>Wins</t>
  </si>
  <si>
    <t>Win%</t>
  </si>
  <si>
    <t>Score</t>
  </si>
  <si>
    <t>Champions</t>
  </si>
  <si>
    <t>Year</t>
  </si>
  <si>
    <t>Full Season</t>
  </si>
  <si>
    <t xml:space="preserve">Reg. Szn. </t>
  </si>
  <si>
    <t>Bowls</t>
  </si>
  <si>
    <t>Column1</t>
  </si>
  <si>
    <t>N/A</t>
  </si>
  <si>
    <t>CC</t>
  </si>
  <si>
    <t>Total</t>
  </si>
  <si>
    <t>All-Time</t>
  </si>
  <si>
    <t>2024 Standings</t>
  </si>
  <si>
    <t>2025 Standings</t>
  </si>
  <si>
    <t>Full Season Standings</t>
  </si>
  <si>
    <t>Regular Season Standings</t>
  </si>
  <si>
    <t>Post-Season Standings</t>
  </si>
  <si>
    <t>Away</t>
  </si>
  <si>
    <t>Home</t>
  </si>
  <si>
    <t>Spread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</si>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</sst>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9EA2A2"/>
        <bgColor indexed="64"/>
      </patternFill>
    </fill>
    <fill>
      <patternFill patternType="solid">
        <fgColor rgb="FFFBB700"/>
        <bgColor indexed="64"/>
      </patternFill>
    </fill>
    <fill>
      <patternFill patternType="solid">
        <fgColor rgb="FFAF562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10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0" fillId="0" borderId="16" xfId="0" applyNumberFormat="1" applyBorder="1"/>
    <xf numFmtId="0" fontId="0" fillId="0" borderId="17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10" fontId="0" fillId="4" borderId="0" xfId="0" applyNumberFormat="1" applyFill="1"/>
    <xf numFmtId="10" fontId="0" fillId="2" borderId="0" xfId="0" applyNumberFormat="1" applyFill="1"/>
    <xf numFmtId="10" fontId="0" fillId="3" borderId="0" xfId="0" applyNumberFormat="1" applyFill="1"/>
    <xf numFmtId="0" fontId="0" fillId="3" borderId="13" xfId="0" applyFill="1" applyBorder="1"/>
    <xf numFmtId="0" fontId="0" fillId="3" borderId="14" xfId="0" applyFill="1" applyBorder="1"/>
    <xf numFmtId="0" fontId="0" fillId="2" borderId="13" xfId="0" applyFill="1" applyBorder="1"/>
    <xf numFmtId="0" fontId="0" fillId="2" borderId="14" xfId="0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45"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color rgb="FFFFFFFF"/>
      </font>
      <fill>
        <patternFill>
          <bgColor rgb="FF554F47"/>
        </patternFill>
      </fill>
    </dxf>
    <dxf>
      <font>
        <color rgb="FF000000"/>
      </font>
      <fill>
        <patternFill>
          <bgColor rgb="FF9EA2A2"/>
        </patternFill>
      </fill>
    </dxf>
    <dxf>
      <font>
        <color rgb="FFFFFFFF"/>
      </font>
      <fill>
        <patternFill>
          <bgColor rgb="FFBA0C2F"/>
        </patternFill>
      </fill>
    </dxf>
    <dxf>
      <font>
        <color rgb="FFFFF2E3"/>
      </font>
      <fill>
        <patternFill>
          <bgColor rgb="FF000000"/>
        </patternFill>
      </fill>
    </dxf>
    <dxf>
      <font>
        <color rgb="FFFFF2E3"/>
      </font>
      <fill>
        <patternFill>
          <bgColor rgb="FF5C5C5C"/>
        </patternFill>
      </fill>
    </dxf>
    <dxf>
      <font>
        <color rgb="FFFFFFFF"/>
      </font>
      <fill>
        <patternFill>
          <bgColor rgb="FF73000A"/>
        </patternFill>
      </fill>
    </dxf>
    <dxf>
      <font>
        <color rgb="FFEFE9D0"/>
      </font>
      <fill>
        <patternFill>
          <bgColor rgb="FF0A843D"/>
        </patternFill>
      </fill>
    </dxf>
    <dxf>
      <font>
        <color rgb="FFAE9412"/>
      </font>
      <fill>
        <patternFill>
          <bgColor rgb="FFB3DAC5"/>
        </patternFill>
      </fill>
    </dxf>
    <dxf>
      <font>
        <color rgb="FFAE9142"/>
      </font>
      <fill>
        <patternFill>
          <bgColor rgb="FF0C2340"/>
        </patternFill>
      </fill>
    </dxf>
    <dxf>
      <font>
        <color rgb="FFFFFFFF"/>
      </font>
      <fill>
        <patternFill>
          <bgColor rgb="FFCC0000"/>
        </patternFill>
      </fill>
    </dxf>
    <dxf>
      <font>
        <color theme="1"/>
      </font>
      <fill>
        <patternFill>
          <bgColor theme="0"/>
        </patternFill>
      </fill>
    </dxf>
    <dxf>
      <font>
        <color rgb="FFCC0000"/>
      </font>
      <fill>
        <patternFill>
          <bgColor rgb="FF000000"/>
        </patternFill>
      </fill>
    </dxf>
    <dxf>
      <font>
        <color rgb="FFFFFFFF"/>
      </font>
      <fill>
        <patternFill>
          <bgColor rgb="FF2E1A47"/>
        </patternFill>
      </fill>
    </dxf>
    <dxf>
      <font>
        <color rgb="FFFFFFFF"/>
      </font>
      <fill>
        <patternFill>
          <bgColor rgb="FF522D80"/>
        </patternFill>
      </fill>
    </dxf>
    <dxf>
      <font>
        <color rgb="FFFFFFFF"/>
      </font>
      <fill>
        <patternFill>
          <bgColor rgb="FFF56600"/>
        </patternFill>
      </fill>
    </dxf>
  </dxfs>
  <tableStyles count="5" defaultTableStyle="TableStyleMedium2" defaultPivotStyle="PivotStyleLight16">
    <tableStyle name="Clemson" pivot="0" count="3" xr9:uid="{0BF2AE16-1933-4189-9A4C-4E8CBAB9A34A}">
      <tableStyleElement type="headerRow" dxfId="44"/>
      <tableStyleElement type="firstRowStripe" dxfId="43"/>
      <tableStyleElement type="secondRowStripe" dxfId="42"/>
    </tableStyle>
    <tableStyle name="NCSU" pivot="0" count="3" xr9:uid="{835FECF8-C7C8-413B-B3B8-7E999E3CEA47}">
      <tableStyleElement type="headerRow" dxfId="41"/>
      <tableStyleElement type="firstRowStripe" dxfId="40"/>
      <tableStyleElement type="secondRowStripe" dxfId="39"/>
    </tableStyle>
    <tableStyle name="Notre Dame" pivot="0" count="3" xr9:uid="{23371EE8-63F0-4112-B8D4-2D84C308FA10}">
      <tableStyleElement type="headerRow" dxfId="38"/>
      <tableStyleElement type="firstRowStripe" dxfId="37"/>
      <tableStyleElement type="secondRowStripe" dxfId="36"/>
    </tableStyle>
    <tableStyle name="SC" pivot="0" count="3" xr9:uid="{4FCDB803-6E2F-4FC4-B732-78DA4396C8BC}">
      <tableStyleElement type="headerRow" dxfId="35"/>
      <tableStyleElement type="firstRowStripe" dxfId="34"/>
      <tableStyleElement type="secondRowStripe" dxfId="33"/>
    </tableStyle>
    <tableStyle name="UGA" pivot="0" count="3" xr9:uid="{C3B98B05-82EC-4FBD-8A49-09E9B716189F}">
      <tableStyleElement type="headerRow" dxfId="32"/>
      <tableStyleElement type="firstRowStripe" dxfId="31"/>
      <tableStyleElement type="secondRowStripe" dxfId="30"/>
    </tableStyle>
  </tableStyles>
  <colors>
    <mruColors>
      <color rgb="FFFBB700"/>
      <color rgb="FFAF5620"/>
      <color rgb="FF9EA2A2"/>
      <color rgb="FFAE9412"/>
      <color rgb="FFAB7942"/>
      <color rgb="FFFFFFFF"/>
      <color rgb="FF554F47"/>
      <color rgb="FF000000"/>
      <color rgb="FFBA0C2F"/>
      <color rgb="FFBA02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5DE73-15CB-438E-856A-B82888299015}" name="jp" displayName="jp" ref="C4:E21" totalsRowCount="1">
  <autoFilter ref="C4:E20" xr:uid="{0A05DE73-15CB-438E-856A-B82888299015}">
    <filterColumn colId="0" hiddenButton="1"/>
    <filterColumn colId="1" hiddenButton="1"/>
    <filterColumn colId="2" hiddenButton="1"/>
  </autoFilter>
  <tableColumns count="3">
    <tableColumn id="1" xr3:uid="{BDA34B15-7A30-44EE-86B3-D03909B59A22}" name="Win" totalsRowFunction="sum" totalsRowDxfId="29"/>
    <tableColumn id="2" xr3:uid="{D3AFAE2E-968A-4D4D-B569-2937BC3FA309}" name="Losses" totalsRowFunction="sum" totalsRowDxfId="28"/>
    <tableColumn id="3" xr3:uid="{E94C89C1-FE53-4B47-93A9-741DF88B117A}" name="Superdawg" totalsRowFunction="sum" totalsRowDxfId="27"/>
  </tableColumns>
  <tableStyleInfo name="Notre Dam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F8597-DBE7-47C0-A71A-83CD9E6AB950}" name="jack2023" displayName="jack2023" ref="G4:I21" totalsRowCount="1">
  <autoFilter ref="G4:I20" xr:uid="{692F8597-DBE7-47C0-A71A-83CD9E6AB950}">
    <filterColumn colId="0" hiddenButton="1"/>
    <filterColumn colId="1" hiddenButton="1"/>
    <filterColumn colId="2" hiddenButton="1"/>
  </autoFilter>
  <tableColumns count="3">
    <tableColumn id="1" xr3:uid="{F79BDC68-BA95-4237-8D97-5E27E0C61D7F}" name="Win" totalsRowFunction="sum" dataDxfId="26"/>
    <tableColumn id="2" xr3:uid="{E869921A-D300-4EEF-8CB0-660DCD64E442}" name="Losses" totalsRowFunction="sum" dataDxfId="25"/>
    <tableColumn id="3" xr3:uid="{56B10C5E-8B37-4AF7-9A4C-68B75BBFB3F8}" name="Superdawg" totalsRowFunction="sum" dataDxfId="24"/>
  </tableColumns>
  <tableStyleInfo name="NCSU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DB75A2-70D3-479C-AF07-2DC3D62F0E2B}" name="robert2023" displayName="robert2023" ref="K4:M21" totalsRowCount="1">
  <autoFilter ref="K4:M20" xr:uid="{EBDB75A2-70D3-479C-AF07-2DC3D62F0E2B}">
    <filterColumn colId="0" hiddenButton="1"/>
    <filterColumn colId="1" hiddenButton="1"/>
    <filterColumn colId="2" hiddenButton="1"/>
  </autoFilter>
  <tableColumns count="3">
    <tableColumn id="1" xr3:uid="{A97C7063-D017-4B9C-B82B-B7A39F9410D0}" name="Win" totalsRowFunction="sum"/>
    <tableColumn id="2" xr3:uid="{23C964C5-46FF-4583-B54A-EB1D816BB308}" name="Losses" totalsRowFunction="sum"/>
    <tableColumn id="3" xr3:uid="{A1C9009E-E9A1-4320-BE6C-7954C07C09F3}" name="Superdawg" totalsRowFunction="sum"/>
  </tableColumns>
  <tableStyleInfo name="Clemson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347644-52E4-4E0E-9F01-5DD8B03B5EF1}" name="jackson2023" displayName="jackson2023" ref="O4:Q21" totalsRowCount="1">
  <autoFilter ref="O4:Q20" xr:uid="{34347644-52E4-4E0E-9F01-5DD8B03B5EF1}">
    <filterColumn colId="0" hiddenButton="1"/>
    <filterColumn colId="1" hiddenButton="1"/>
    <filterColumn colId="2" hiddenButton="1"/>
  </autoFilter>
  <tableColumns count="3">
    <tableColumn id="1" xr3:uid="{11A0F3DF-DB46-456B-91DB-E66E6C4ECB85}" name="Win" totalsRowFunction="sum"/>
    <tableColumn id="2" xr3:uid="{F49BDE66-2C0C-41BB-B19C-97C86F0C06B0}" name="Losses" totalsRowFunction="sum"/>
    <tableColumn id="3" xr3:uid="{0DA5BB14-B5A1-4A17-A411-561847107DF1}" name="Superdawg" totalsRowFunction="sum"/>
  </tableColumns>
  <tableStyleInfo name="SC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E5CEC0-C328-4A2E-979F-ADE2139AC3A0}" name="michael2023" displayName="michael2023" ref="S4:U21" totalsRowCount="1">
  <autoFilter ref="S4:U20" xr:uid="{B1E5CEC0-C328-4A2E-979F-ADE2139AC3A0}">
    <filterColumn colId="0" hiddenButton="1"/>
    <filterColumn colId="1" hiddenButton="1"/>
    <filterColumn colId="2" hiddenButton="1"/>
  </autoFilter>
  <tableColumns count="3">
    <tableColumn id="1" xr3:uid="{AB18E058-C44E-4CF0-BBE9-5FAEA8E2E856}" name="Win" totalsRowFunction="sum"/>
    <tableColumn id="2" xr3:uid="{A40C7F1A-1BA9-407B-8870-6F6BAF2D459F}" name="Losses" totalsRowFunction="sum"/>
    <tableColumn id="3" xr3:uid="{5BF938C9-5367-4716-A935-99BE753993D3}" name="Superdawg" totalsRowFunction="sum"/>
  </tableColumns>
  <tableStyleInfo name="UGA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1A4B37-A222-4A21-B43E-4824B7A34438}" name="jpp" displayName="jpp" ref="C24:E42" totalsRowCount="1">
  <autoFilter ref="C24:E41" xr:uid="{DE1A4B37-A222-4A21-B43E-4824B7A34438}">
    <filterColumn colId="0" hiddenButton="1"/>
    <filterColumn colId="1" hiddenButton="1"/>
    <filterColumn colId="2" hiddenButton="1"/>
  </autoFilter>
  <tableColumns count="3">
    <tableColumn id="1" xr3:uid="{7AB52643-38E3-4D3E-A10A-743E3DA1AAEC}" name="Win" totalsRowFunction="sum"/>
    <tableColumn id="2" xr3:uid="{7708EFB0-AF6B-49BD-84F2-AA31123D70C9}" name="Losses" totalsRowFunction="sum"/>
    <tableColumn id="3" xr3:uid="{938C9F2C-9484-4E0E-8549-3DDED8627501}" name="Superdawg" totalsRowFunction="sum"/>
  </tableColumns>
  <tableStyleInfo name="Notre Dam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B80599-A9D7-410A-90DD-7EC38E5C2CFA}" name="robert2024" displayName="robert2024" ref="K24:M42" totalsRowCount="1">
  <autoFilter ref="K24:M41" xr:uid="{58B80599-A9D7-410A-90DD-7EC38E5C2CFA}">
    <filterColumn colId="0" hiddenButton="1"/>
    <filterColumn colId="1" hiddenButton="1"/>
    <filterColumn colId="2" hiddenButton="1"/>
  </autoFilter>
  <tableColumns count="3">
    <tableColumn id="1" xr3:uid="{E7DB10A5-945A-419C-9828-676015681CFC}" name="Win" totalsRowFunction="sum"/>
    <tableColumn id="2" xr3:uid="{762E45DA-7A27-46BB-93CB-624E78B395DF}" name="Losses" totalsRowFunction="sum"/>
    <tableColumn id="3" xr3:uid="{DF791463-A02D-454F-A879-1B6A7BE32508}" name="Superdawg" totalsRowFunction="sum"/>
  </tableColumns>
  <tableStyleInfo name="Clemson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E86EA88-2C57-4B0D-A789-65A651DC8B55}" name="jackson2024" displayName="jackson2024" ref="O24:Q42" totalsRowCount="1">
  <autoFilter ref="O24:Q41" xr:uid="{4E86EA88-2C57-4B0D-A789-65A651DC8B55}">
    <filterColumn colId="0" hiddenButton="1"/>
    <filterColumn colId="1" hiddenButton="1"/>
    <filterColumn colId="2" hiddenButton="1"/>
  </autoFilter>
  <tableColumns count="3">
    <tableColumn id="1" xr3:uid="{A879C758-2A27-423A-B79F-041B57DA0FAE}" name="Win" totalsRowFunction="sum"/>
    <tableColumn id="2" xr3:uid="{E3A9F879-6863-4AC8-AE7C-F6492C838BB3}" name="Losses" totalsRowFunction="sum"/>
    <tableColumn id="3" xr3:uid="{FD36A0FF-E77F-4004-887E-2136547630CB}" name="Superdawg" totalsRowFunction="sum"/>
  </tableColumns>
  <tableStyleInfo name="SC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50A289-72CD-4EF2-9BE8-0A806B3CE53E}" name="michael2024" displayName="michael2024" ref="S24:U42" totalsRowCount="1">
  <autoFilter ref="S24:U41" xr:uid="{B150A289-72CD-4EF2-9BE8-0A806B3CE53E}">
    <filterColumn colId="0" hiddenButton="1"/>
    <filterColumn colId="1" hiddenButton="1"/>
    <filterColumn colId="2" hiddenButton="1"/>
  </autoFilter>
  <tableColumns count="3">
    <tableColumn id="1" xr3:uid="{68557E20-FEC2-4FEA-A026-E1273B5E8E36}" name="Win" totalsRowFunction="sum"/>
    <tableColumn id="2" xr3:uid="{2F678573-FE72-4136-90EA-DB818649A651}" name="Losses" totalsRowFunction="sum"/>
    <tableColumn id="3" xr3:uid="{B7863F1A-86D0-41CC-B42A-931C5A5DF65A}" name="Superdawg" totalsRowFunction="sum" totalsRowDxfId="23"/>
  </tableColumns>
  <tableStyleInfo name="UGA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E90C07-4559-4701-8DAC-7A7DB2ED507B}" name="jack2024" displayName="jack2024" ref="G24:I42" totalsRowCount="1">
  <autoFilter ref="G24:I41" xr:uid="{BAE90C07-4559-4701-8DAC-7A7DB2ED507B}">
    <filterColumn colId="0" hiddenButton="1"/>
    <filterColumn colId="1" hiddenButton="1"/>
    <filterColumn colId="2" hiddenButton="1"/>
  </autoFilter>
  <tableColumns count="3">
    <tableColumn id="1" xr3:uid="{ECDFA9F9-572D-43F3-88B6-B21BD0B3B043}" name="Win" totalsRowFunction="sum" dataDxfId="22"/>
    <tableColumn id="2" xr3:uid="{81272A18-3FAE-41AD-AD30-DDD34254CBAD}" name="Losses" totalsRowFunction="sum" dataDxfId="21"/>
    <tableColumn id="3" xr3:uid="{5E5D2A5E-5D00-414D-89EC-5E9A826B1D40}" name="Superdawg" totalsRowFunction="sum" dataDxfId="20"/>
  </tableColumns>
  <tableStyleInfo name="NCSU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3AB058-EE61-4A4B-ADCB-333EFE0A141E}" name="jppp" displayName="jppp" ref="C45:E63" totalsRowCount="1">
  <autoFilter ref="C45:E62" xr:uid="{1A3AB058-EE61-4A4B-ADCB-333EFE0A141E}">
    <filterColumn colId="0" hiddenButton="1"/>
    <filterColumn colId="1" hiddenButton="1"/>
    <filterColumn colId="2" hiddenButton="1"/>
  </autoFilter>
  <tableColumns count="3">
    <tableColumn id="1" xr3:uid="{244A8467-51E6-46E4-9EA6-3C0A176EA5D4}" name="Win" totalsRowFunction="sum"/>
    <tableColumn id="2" xr3:uid="{198F6339-C33C-48A3-A7F3-A25058496278}" name="Losses" totalsRowFunction="sum"/>
    <tableColumn id="3" xr3:uid="{3179E188-CD69-4B6A-B8DB-8344A23B2DC4}" name="Superdawg" totalsRowFunction="sum" totalsRowDxfId="19"/>
  </tableColumns>
  <tableStyleInfo name="Notre Dam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F2316F-EFF0-49FE-9816-22C48EFED922}" name="robert2025" displayName="robert2025" ref="K45:M63" totalsRowCount="1">
  <autoFilter ref="K45:M62" xr:uid="{0BF2316F-EFF0-49FE-9816-22C48EFED922}">
    <filterColumn colId="0" hiddenButton="1"/>
    <filterColumn colId="1" hiddenButton="1"/>
    <filterColumn colId="2" hiddenButton="1"/>
  </autoFilter>
  <tableColumns count="3">
    <tableColumn id="1" xr3:uid="{AF57EE65-8CE8-44A6-A3B3-00A83C9E218C}" name="Win" totalsRowFunction="sum"/>
    <tableColumn id="2" xr3:uid="{F558EBAC-5CD6-4A82-A549-D75A566C7DE7}" name="Losses" totalsRowFunction="sum"/>
    <tableColumn id="3" xr3:uid="{9884F6A6-CEFF-4DAC-B338-3A84C2DEB649}" name="Superdawg" totalsRowFunction="sum" totalsRowDxfId="18"/>
  </tableColumns>
  <tableStyleInfo name="Clemson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6997813-7C4D-4A71-866B-87D9F1222A3E}" name="jackson2025" displayName="jackson2025" ref="O45:Q63" totalsRowCount="1">
  <autoFilter ref="O45:Q62" xr:uid="{56997813-7C4D-4A71-866B-87D9F1222A3E}">
    <filterColumn colId="0" hiddenButton="1"/>
    <filterColumn colId="1" hiddenButton="1"/>
    <filterColumn colId="2" hiddenButton="1"/>
  </autoFilter>
  <tableColumns count="3">
    <tableColumn id="1" xr3:uid="{D37AD4EF-BA9F-4092-9D5C-AAA2A8C01488}" name="Win" totalsRowFunction="sum"/>
    <tableColumn id="2" xr3:uid="{A49D8A60-4340-4D99-AE3D-04D0F6292BB4}" name="Losses" totalsRowFunction="sum"/>
    <tableColumn id="3" xr3:uid="{35538BBF-67D2-4BB2-BF96-A21CC1468D0A}" name="Superdawg" totalsRowFunction="sum" totalsRowDxfId="17"/>
  </tableColumns>
  <tableStyleInfo name="SC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562069E-7ECC-44A2-B1FD-71832EC1247C}" name="michael2025" displayName="michael2025" ref="S45:U63" totalsRowCount="1">
  <autoFilter ref="S45:U62" xr:uid="{5562069E-7ECC-44A2-B1FD-71832EC1247C}">
    <filterColumn colId="0" hiddenButton="1"/>
    <filterColumn colId="1" hiddenButton="1"/>
    <filterColumn colId="2" hiddenButton="1"/>
  </autoFilter>
  <tableColumns count="3">
    <tableColumn id="1" xr3:uid="{73B1831A-CA04-44D5-9F49-66711DDD626D}" name="Win" totalsRowFunction="sum"/>
    <tableColumn id="2" xr3:uid="{8C896916-12D1-473E-9F48-D867813B7D17}" name="Losses" totalsRowFunction="sum"/>
    <tableColumn id="3" xr3:uid="{492E3561-0480-464C-965F-16F65C9E708F}" name="Superdawg" totalsRowFunction="sum" totalsRowDxfId="16"/>
  </tableColumns>
  <tableStyleInfo name="UGA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F705C70-1D3D-48A6-9A5E-1458AD854B0A}" name="jack2025" displayName="jack2025" ref="G45:I63" totalsRowCount="1">
  <autoFilter ref="G45:I62" xr:uid="{EF705C70-1D3D-48A6-9A5E-1458AD854B0A}">
    <filterColumn colId="0" hiddenButton="1"/>
    <filterColumn colId="1" hiddenButton="1"/>
    <filterColumn colId="2" hiddenButton="1"/>
  </autoFilter>
  <tableColumns count="3">
    <tableColumn id="1" xr3:uid="{DE161265-2308-43EE-B5A9-F12522D47D7C}" name="Win" totalsRowFunction="sum" dataDxfId="15"/>
    <tableColumn id="2" xr3:uid="{8731663B-C86E-49AA-B04D-173F6EE14D83}" name="Losses" totalsRowFunction="sum" dataDxfId="14"/>
    <tableColumn id="3" xr3:uid="{52E642F6-FB7A-4686-ACA8-3F7227D86892}" name="Superdawg" totalsRowFunction="sum" dataDxfId="12" totalsRowDxfId="13"/>
  </tableColumns>
  <tableStyleInfo name="NCSU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7EED334-8355-4E14-868F-CD039993BDFB}" name="Table23" displayName="Table23" ref="W5:Z10" totalsRowShown="0">
  <autoFilter ref="W5:Z10" xr:uid="{27EED334-8355-4E14-868F-CD039993BDFB}"/>
  <sortState xmlns:xlrd2="http://schemas.microsoft.com/office/spreadsheetml/2017/richdata2" ref="W6:Z10">
    <sortCondition descending="1" ref="Z5:Z10"/>
  </sortState>
  <tableColumns count="4">
    <tableColumn id="1" xr3:uid="{8D9BDB78-EC27-46D0-AAD2-99C2615349C1}" name="Name"/>
    <tableColumn id="2" xr3:uid="{4515E29E-788F-4874-8ECC-5B532CE9967A}" name="Wins" dataDxfId="11">
      <calculatedColumnFormula>jack2023[[#Totals],[Win]]</calculatedColumnFormula>
    </tableColumn>
    <tableColumn id="3" xr3:uid="{7AC9DBFE-3D55-4951-B05A-688379E592C6}" name="Losses"/>
    <tableColumn id="4" xr3:uid="{0C81BE87-DF6A-417D-9D6D-956A82AD34A4}" name="Win%" dataDxfId="10">
      <calculatedColumnFormula>Table23[[#This Row],[Wins]]/(Table23[[#This Row],[Wins]]+Table23[[#This Row],[Losses]])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73CEF63-6B5C-4B42-829B-2256C09F4428}" name="Table24" displayName="Table24" ref="AB5:AC10" totalsRowShown="0">
  <autoFilter ref="AB5:AC10" xr:uid="{973CEF63-6B5C-4B42-829B-2256C09F4428}"/>
  <sortState xmlns:xlrd2="http://schemas.microsoft.com/office/spreadsheetml/2017/richdata2" ref="AB6:AC10">
    <sortCondition descending="1" ref="AC5:AC10"/>
  </sortState>
  <tableColumns count="2">
    <tableColumn id="1" xr3:uid="{D1394043-1818-439A-AD3F-EA57067705B4}" name="Name"/>
    <tableColumn id="2" xr3:uid="{768EB15F-6AA1-4D03-B6F5-30D3B71D63C3}" name="Scor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E7BA186-B6BC-4A3F-B6C7-E6B9EE1E62ED}" name="Table2326" displayName="Table2326" ref="W25:Z30" totalsRowShown="0">
  <autoFilter ref="W25:Z30" xr:uid="{6E7BA186-B6BC-4A3F-B6C7-E6B9EE1E62ED}"/>
  <sortState xmlns:xlrd2="http://schemas.microsoft.com/office/spreadsheetml/2017/richdata2" ref="W26:Z30">
    <sortCondition descending="1" ref="Z5:Z10"/>
  </sortState>
  <tableColumns count="4">
    <tableColumn id="1" xr3:uid="{1503EED8-6E37-455B-8447-440794AE7C63}" name="Name"/>
    <tableColumn id="2" xr3:uid="{5B165EC3-283A-4FAE-A189-F0210149E51E}" name="Wins" dataDxfId="9">
      <calculatedColumnFormula>jackson2024[[#Totals],[Win]]</calculatedColumnFormula>
    </tableColumn>
    <tableColumn id="3" xr3:uid="{9F0642D6-9032-4820-A4BD-5A07B55C824A}" name="Losses">
      <calculatedColumnFormula>jackson2024[[#Totals],[Losses]]</calculatedColumnFormula>
    </tableColumn>
    <tableColumn id="4" xr3:uid="{5D6C790D-3515-4ECE-AE22-48838B448717}" name="Win%" dataDxfId="8">
      <calculatedColumnFormula>Table2326[[#This Row],[Wins]]/(Table2326[[#This Row],[Wins]]+Table2326[[#This Row],[Losses]])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D938786-7F99-4F72-9F29-5BE6F413FE0A}" name="Table2427" displayName="Table2427" ref="AB25:AC30" totalsRowShown="0">
  <autoFilter ref="AB25:AC30" xr:uid="{8D938786-7F99-4F72-9F29-5BE6F413FE0A}"/>
  <sortState xmlns:xlrd2="http://schemas.microsoft.com/office/spreadsheetml/2017/richdata2" ref="AB26:AC30">
    <sortCondition descending="1" ref="AC5:AC10"/>
  </sortState>
  <tableColumns count="2">
    <tableColumn id="1" xr3:uid="{43C99506-D9F4-46E9-AD2A-843BC67B5334}" name="Name"/>
    <tableColumn id="2" xr3:uid="{1F420945-92BF-419E-98B0-289A4E773431}" name="Scor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D499709-D606-4DDF-9A0D-CA00B6EF3B57}" name="Table232628" displayName="Table232628" ref="W46:Z51" totalsRowShown="0">
  <autoFilter ref="W46:Z51" xr:uid="{0D499709-D606-4DDF-9A0D-CA00B6EF3B57}"/>
  <sortState xmlns:xlrd2="http://schemas.microsoft.com/office/spreadsheetml/2017/richdata2" ref="W47:Z51">
    <sortCondition descending="1" ref="Z46:Z51"/>
  </sortState>
  <tableColumns count="4">
    <tableColumn id="1" xr3:uid="{E3770184-9312-4CDB-8D82-889132F94A13}" name="Name"/>
    <tableColumn id="2" xr3:uid="{FC56C6B8-A8EC-4A66-877A-9DAEE8FDCEC6}" name="Wins" dataDxfId="7">
      <calculatedColumnFormula>jackson2024[[#Totals],[Win]]</calculatedColumnFormula>
    </tableColumn>
    <tableColumn id="3" xr3:uid="{8612E848-F520-4F63-B145-2D951410189B}" name="Losses">
      <calculatedColumnFormula>jackson2024[[#Totals],[Losses]]</calculatedColumnFormula>
    </tableColumn>
    <tableColumn id="4" xr3:uid="{EFBD10D5-15DE-4959-872B-EC51579378E7}" name="Win%" dataDxfId="6">
      <calculatedColumnFormula>Table232628[[#This Row],[Wins]]/(Table232628[[#This Row],[Wins]]+Table232628[[#This Row],[Losses]])</calculatedColumnFormula>
    </tableColumn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C936CFD-53F9-4793-92D1-749B54A4D2DB}" name="Table242729" displayName="Table242729" ref="AB46:AC51" totalsRowShown="0">
  <autoFilter ref="AB46:AC51" xr:uid="{1C936CFD-53F9-4793-92D1-749B54A4D2DB}"/>
  <sortState xmlns:xlrd2="http://schemas.microsoft.com/office/spreadsheetml/2017/richdata2" ref="AB47:AC51">
    <sortCondition descending="1" ref="AC46:AC51"/>
  </sortState>
  <tableColumns count="2">
    <tableColumn id="1" xr3:uid="{5D26054D-60B1-4A31-99AC-58F62C21B406}" name="Name"/>
    <tableColumn id="2" xr3:uid="{DE5F792F-DDFA-4711-9DFF-135F8CE97355}" name="Scor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31F280F-D0D3-4F35-9AC4-A8B4B0FD065C}" name="Table2330" displayName="Table2330" ref="AE5:AH10" totalsRowShown="0">
  <autoFilter ref="AE5:AH10" xr:uid="{331F280F-D0D3-4F35-9AC4-A8B4B0FD065C}"/>
  <sortState xmlns:xlrd2="http://schemas.microsoft.com/office/spreadsheetml/2017/richdata2" ref="AE6:AH10">
    <sortCondition descending="1" ref="AH5:AH10"/>
  </sortState>
  <tableColumns count="4">
    <tableColumn id="1" xr3:uid="{CD2D0158-AF4B-4735-9DF9-E600F7C47DB0}" name="Name"/>
    <tableColumn id="2" xr3:uid="{3011B8EC-1093-43F5-9703-41B0DADEF82E}" name="Wins" dataDxfId="5">
      <calculatedColumnFormula>jack2023[[#Totals],[Win]]</calculatedColumnFormula>
    </tableColumn>
    <tableColumn id="3" xr3:uid="{25633972-DC9D-4F28-A013-36592B03BB86}" name="Losses"/>
    <tableColumn id="4" xr3:uid="{9DDFECEB-3AE2-4C9A-B243-6C7B1B592B4B}" name="Win%" dataDxfId="4">
      <calculatedColumnFormula>Table2330[[#This Row],[Wins]]/(Table2330[[#This Row],[Wins]]+Table2330[[#This Row],[Losses]])</calculatedColumnFormula>
    </tableColumn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B90E304-D9D8-4320-9964-D7D4EDCFFADE}" name="Table2431" displayName="Table2431" ref="AJ5:AK10" totalsRowShown="0">
  <autoFilter ref="AJ5:AK10" xr:uid="{9B90E304-D9D8-4320-9964-D7D4EDCFFADE}"/>
  <sortState xmlns:xlrd2="http://schemas.microsoft.com/office/spreadsheetml/2017/richdata2" ref="AJ6:AK10">
    <sortCondition descending="1" ref="AK5:AK10"/>
  </sortState>
  <tableColumns count="2">
    <tableColumn id="1" xr3:uid="{D2AA5DE3-34BD-4C17-87A9-A602584D0003}" name="Name"/>
    <tableColumn id="2" xr3:uid="{F5E3E3CD-9CC6-4216-8EF8-357072D66BCF}" name="Score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66C758B-3C48-7B44-933E-1235D4B8C0BD}" name="Table23262814" displayName="Table23262814" ref="W54:Z59" totalsRowShown="0">
  <autoFilter ref="W54:Z59" xr:uid="{F66C758B-3C48-7B44-933E-1235D4B8C0BD}"/>
  <sortState xmlns:xlrd2="http://schemas.microsoft.com/office/spreadsheetml/2017/richdata2" ref="W55:Z59">
    <sortCondition descending="1" ref="Z57:Z59"/>
  </sortState>
  <tableColumns count="4">
    <tableColumn id="1" xr3:uid="{41E4493D-B630-0C4B-BA68-3ADA1BC933F2}" name="Name"/>
    <tableColumn id="2" xr3:uid="{FB1DC3D3-B88F-D74C-82CA-C23627F1A0D9}" name="Wins" dataDxfId="3">
      <calculatedColumnFormula>jackson2024[[#Totals],[Win]]</calculatedColumnFormula>
    </tableColumn>
    <tableColumn id="3" xr3:uid="{69FA4139-6BDA-F34A-9793-43363DBBCEA0}" name="Losses">
      <calculatedColumnFormula>jackson2024[[#Totals],[Losses]]</calculatedColumnFormula>
    </tableColumn>
    <tableColumn id="4" xr3:uid="{43769107-AE00-994F-876C-921C159EF271}" name="Win%" dataDxfId="2">
      <calculatedColumnFormula>Table23262814[[#This Row],[Wins]]/(Table23262814[[#This Row],[Wins]]+Table23262814[[#This Row],[Losses]])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1A43986-1DCA-3E47-B89A-CB6F0E2B51ED}" name="Table1215" displayName="Table1215" ref="AE13:AJ19" totalsRowShown="0">
  <autoFilter ref="AE13:AJ19" xr:uid="{71A43986-1DCA-3E47-B89A-CB6F0E2B51ED}"/>
  <tableColumns count="6">
    <tableColumn id="1" xr3:uid="{D2C5DD4D-27BA-FA4D-9687-C9B5F4496B74}" name="Year"/>
    <tableColumn id="2" xr3:uid="{63CAA911-C4DB-E348-BAF9-542AA2F09AB4}" name="Full Season"/>
    <tableColumn id="5" xr3:uid="{3EF66AA6-672E-6144-9E4B-8050098BE746}" name="Reg. Szn. "/>
    <tableColumn id="4" xr3:uid="{F7125B2F-6931-A44D-A5E6-83224BD410F2}" name="Bowls"/>
    <tableColumn id="3" xr3:uid="{2FE60EED-A2EA-B74C-B8FA-BE64534E28C1}" name="Superdog"/>
    <tableColumn id="6" xr3:uid="{26C3259E-8B9D-DA41-922D-4CF92D9D247D}" name="Column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DA8133-9CCD-B547-B6D1-730C68CC439D}" name="Table23262813" displayName="Table23262813" ref="AB54:AE59" totalsRowShown="0">
  <autoFilter ref="AB54:AE59" xr:uid="{D5DA8133-9CCD-B547-B6D1-730C68CC439D}"/>
  <sortState xmlns:xlrd2="http://schemas.microsoft.com/office/spreadsheetml/2017/richdata2" ref="AB55:AE59">
    <sortCondition descending="1" ref="AC54:AC59"/>
  </sortState>
  <tableColumns count="4">
    <tableColumn id="1" xr3:uid="{80C8A924-AAE0-5745-ADAA-253905213E59}" name="Name"/>
    <tableColumn id="2" xr3:uid="{621E216C-19AB-4049-B574-92D7CB00F909}" name="Wins" dataDxfId="1">
      <calculatedColumnFormula>jackson2024[[#Totals],[Win]]</calculatedColumnFormula>
    </tableColumn>
    <tableColumn id="3" xr3:uid="{BBCA4090-F3F3-DD40-96DE-D1D2B90D101D}" name="Losses"/>
    <tableColumn id="4" xr3:uid="{0AC3324B-21E2-F548-BAB3-F6AA59AE90F6}" name="Win%" dataDxfId="0">
      <calculatedColumnFormula>Table23262813[[#This Row],[Wins]]/(Table23262813[[#This Row],[Wins]]+Table23262813[[#This Row],[Losses]])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8675BC-5DC5-314E-A814-489ACD48923D}" name="Table6" displayName="Table6" ref="A3:F15" totalsRowShown="0">
  <autoFilter ref="A3:F15" xr:uid="{0A8675BC-5DC5-314E-A814-489ACD48923D}"/>
  <tableColumns count="6">
    <tableColumn id="1" xr3:uid="{525D7113-5333-9C41-9779-5C68D7484416}" name="Away"/>
    <tableColumn id="2" xr3:uid="{9C794920-3B29-BE4F-8B95-82563AEE338D}" name="Home"/>
    <tableColumn id="3" xr3:uid="{047595D0-BB0C-CA40-892B-7ED17343BE7B}" name="Spread"/>
    <tableColumn id="4" xr3:uid="{2FE18CE8-9B0D-D946-A1FC-4B091FA0B753}" name="Column4"/>
    <tableColumn id="5" xr3:uid="{62878B3A-557B-C046-8E97-3BC1CDA7A77F}" name="Column5"/>
    <tableColumn id="6" xr3:uid="{EFE3F503-8A1B-4747-BA00-E827BF477D1B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637D-C9B7-427A-99E0-5AC742382BAC}">
  <dimension ref="B2:AM64"/>
  <sheetViews>
    <sheetView tabSelected="1" topLeftCell="M34" zoomScale="143" zoomScaleNormal="38" workbookViewId="0">
      <selection activeCell="AJ23" sqref="AJ23"/>
    </sheetView>
  </sheetViews>
  <sheetFormatPr defaultColWidth="8.85546875" defaultRowHeight="15"/>
  <cols>
    <col min="5" max="5" width="11.140625" customWidth="1"/>
    <col min="23" max="26" width="9.85546875" customWidth="1"/>
    <col min="28" max="29" width="10" customWidth="1"/>
    <col min="31" max="31" width="8.140625" bestFit="1" customWidth="1"/>
    <col min="32" max="32" width="12.42578125" bestFit="1" customWidth="1"/>
    <col min="33" max="33" width="9" bestFit="1" customWidth="1"/>
    <col min="34" max="34" width="8.140625" bestFit="1" customWidth="1"/>
    <col min="35" max="35" width="11.140625" bestFit="1" customWidth="1"/>
    <col min="36" max="36" width="8.140625" bestFit="1" customWidth="1"/>
    <col min="39" max="43" width="10" customWidth="1"/>
  </cols>
  <sheetData>
    <row r="2" spans="2:39" ht="15.95" thickBot="1">
      <c r="C2" s="27" t="s">
        <v>0</v>
      </c>
      <c r="D2" s="27"/>
      <c r="E2" s="27"/>
      <c r="G2" s="27" t="s">
        <v>1</v>
      </c>
      <c r="H2" s="27"/>
      <c r="I2" s="27"/>
      <c r="K2" s="27" t="s">
        <v>2</v>
      </c>
      <c r="L2" s="27"/>
      <c r="M2" s="27"/>
      <c r="O2" s="27" t="s">
        <v>3</v>
      </c>
      <c r="P2" s="27"/>
      <c r="Q2" s="27"/>
      <c r="S2" s="27" t="s">
        <v>4</v>
      </c>
      <c r="T2" s="27"/>
      <c r="U2" s="27"/>
    </row>
    <row r="3" spans="2:39">
      <c r="B3" s="2"/>
      <c r="C3" s="30">
        <v>2023</v>
      </c>
      <c r="D3" s="30"/>
      <c r="E3" s="31"/>
      <c r="F3" s="2"/>
      <c r="G3" s="30">
        <v>2023</v>
      </c>
      <c r="H3" s="30"/>
      <c r="I3" s="31"/>
      <c r="J3" s="2"/>
      <c r="K3" s="30">
        <v>2023</v>
      </c>
      <c r="L3" s="30"/>
      <c r="M3" s="31"/>
      <c r="N3" s="2"/>
      <c r="O3" s="30">
        <v>2023</v>
      </c>
      <c r="P3" s="30"/>
      <c r="Q3" s="31"/>
      <c r="R3" s="2"/>
      <c r="S3" s="30">
        <v>2023</v>
      </c>
      <c r="T3" s="30"/>
      <c r="U3" s="31"/>
      <c r="W3" s="27" t="s">
        <v>5</v>
      </c>
      <c r="X3" s="27"/>
      <c r="Y3" s="27"/>
      <c r="Z3" s="27"/>
      <c r="AA3" s="27"/>
      <c r="AB3" s="27"/>
      <c r="AC3" s="27"/>
      <c r="AE3" s="32" t="s">
        <v>6</v>
      </c>
      <c r="AF3" s="33"/>
      <c r="AG3" s="33"/>
      <c r="AH3" s="33"/>
      <c r="AI3" s="33"/>
      <c r="AJ3" s="33"/>
      <c r="AK3" s="34"/>
      <c r="AM3" t="s">
        <v>7</v>
      </c>
    </row>
    <row r="4" spans="2:39">
      <c r="B4" s="3" t="s">
        <v>8</v>
      </c>
      <c r="C4" t="s">
        <v>9</v>
      </c>
      <c r="D4" t="s">
        <v>10</v>
      </c>
      <c r="E4" s="4" t="s">
        <v>11</v>
      </c>
      <c r="F4" s="3" t="s">
        <v>8</v>
      </c>
      <c r="G4" t="s">
        <v>9</v>
      </c>
      <c r="H4" t="s">
        <v>10</v>
      </c>
      <c r="I4" s="4" t="s">
        <v>11</v>
      </c>
      <c r="J4" s="3" t="s">
        <v>8</v>
      </c>
      <c r="K4" t="s">
        <v>9</v>
      </c>
      <c r="L4" t="s">
        <v>10</v>
      </c>
      <c r="M4" s="4" t="s">
        <v>11</v>
      </c>
      <c r="N4" s="3" t="s">
        <v>8</v>
      </c>
      <c r="O4" t="s">
        <v>9</v>
      </c>
      <c r="P4" t="s">
        <v>10</v>
      </c>
      <c r="Q4" s="4" t="s">
        <v>11</v>
      </c>
      <c r="R4" s="3" t="s">
        <v>8</v>
      </c>
      <c r="S4" t="s">
        <v>9</v>
      </c>
      <c r="T4" t="s">
        <v>10</v>
      </c>
      <c r="U4" s="4" t="s">
        <v>11</v>
      </c>
      <c r="W4" s="27" t="s">
        <v>12</v>
      </c>
      <c r="X4" s="27"/>
      <c r="Y4" s="27"/>
      <c r="Z4" s="27"/>
      <c r="AB4" s="27" t="s">
        <v>13</v>
      </c>
      <c r="AC4" s="27"/>
      <c r="AE4" s="28" t="s">
        <v>12</v>
      </c>
      <c r="AF4" s="27"/>
      <c r="AG4" s="27"/>
      <c r="AH4" s="27"/>
      <c r="AJ4" s="27" t="s">
        <v>13</v>
      </c>
      <c r="AK4" s="29"/>
      <c r="AM4">
        <f>AF6+AG6</f>
        <v>885</v>
      </c>
    </row>
    <row r="5" spans="2:39">
      <c r="B5" s="3">
        <v>0</v>
      </c>
      <c r="C5" t="s">
        <v>14</v>
      </c>
      <c r="D5" t="s">
        <v>14</v>
      </c>
      <c r="E5" s="4" t="s">
        <v>14</v>
      </c>
      <c r="F5" s="3">
        <v>0</v>
      </c>
      <c r="G5" s="1" t="s">
        <v>14</v>
      </c>
      <c r="H5" s="1" t="s">
        <v>14</v>
      </c>
      <c r="I5" s="1" t="s">
        <v>14</v>
      </c>
      <c r="J5" s="3">
        <v>0</v>
      </c>
      <c r="K5" t="s">
        <v>14</v>
      </c>
      <c r="L5" t="s">
        <v>14</v>
      </c>
      <c r="M5" s="4" t="s">
        <v>14</v>
      </c>
      <c r="N5" s="3">
        <v>0</v>
      </c>
      <c r="O5" t="s">
        <v>14</v>
      </c>
      <c r="P5" t="s">
        <v>14</v>
      </c>
      <c r="Q5" s="4" t="s">
        <v>14</v>
      </c>
      <c r="R5" s="3">
        <v>0</v>
      </c>
      <c r="S5" t="s">
        <v>14</v>
      </c>
      <c r="T5" t="s">
        <v>14</v>
      </c>
      <c r="U5" s="4" t="s">
        <v>14</v>
      </c>
      <c r="W5" t="s">
        <v>15</v>
      </c>
      <c r="X5" t="s">
        <v>16</v>
      </c>
      <c r="Y5" t="s">
        <v>10</v>
      </c>
      <c r="Z5" s="8" t="s">
        <v>17</v>
      </c>
      <c r="AB5" t="s">
        <v>15</v>
      </c>
      <c r="AC5" t="s">
        <v>18</v>
      </c>
      <c r="AE5" s="9" t="s">
        <v>15</v>
      </c>
      <c r="AF5" t="s">
        <v>16</v>
      </c>
      <c r="AG5" t="s">
        <v>10</v>
      </c>
      <c r="AH5" s="8" t="s">
        <v>17</v>
      </c>
      <c r="AJ5" t="s">
        <v>15</v>
      </c>
      <c r="AK5" s="10" t="s">
        <v>18</v>
      </c>
    </row>
    <row r="6" spans="2:39">
      <c r="B6" s="3">
        <v>1</v>
      </c>
      <c r="C6" t="s">
        <v>14</v>
      </c>
      <c r="D6" t="s">
        <v>14</v>
      </c>
      <c r="E6" s="4" t="s">
        <v>14</v>
      </c>
      <c r="F6" s="3">
        <v>1</v>
      </c>
      <c r="G6" s="1" t="s">
        <v>14</v>
      </c>
      <c r="H6" s="1" t="s">
        <v>14</v>
      </c>
      <c r="I6" s="1" t="s">
        <v>14</v>
      </c>
      <c r="J6" s="3">
        <v>1</v>
      </c>
      <c r="K6" t="s">
        <v>14</v>
      </c>
      <c r="L6" t="s">
        <v>14</v>
      </c>
      <c r="M6" s="4" t="s">
        <v>14</v>
      </c>
      <c r="N6" s="3">
        <v>1</v>
      </c>
      <c r="O6" t="s">
        <v>14</v>
      </c>
      <c r="P6" t="s">
        <v>14</v>
      </c>
      <c r="Q6" s="4" t="s">
        <v>14</v>
      </c>
      <c r="R6" s="3">
        <v>1</v>
      </c>
      <c r="S6" t="s">
        <v>14</v>
      </c>
      <c r="T6" t="s">
        <v>14</v>
      </c>
      <c r="U6" s="4" t="s">
        <v>14</v>
      </c>
      <c r="W6" s="16" t="s">
        <v>3</v>
      </c>
      <c r="X6" s="16">
        <f>jackson2023[[#Totals],[Win]]</f>
        <v>166</v>
      </c>
      <c r="Y6" s="16">
        <f>jackson2023[[#Totals],[Losses]]</f>
        <v>85</v>
      </c>
      <c r="Z6" s="20">
        <f>Table23[[#This Row],[Wins]]/(Table23[[#This Row],[Wins]]+Table23[[#This Row],[Losses]])</f>
        <v>0.66135458167330674</v>
      </c>
      <c r="AB6" s="16" t="s">
        <v>4</v>
      </c>
      <c r="AC6" s="16">
        <f>michael2023[[#Totals],[Superdawg]]</f>
        <v>67</v>
      </c>
      <c r="AE6" s="21" t="s">
        <v>1</v>
      </c>
      <c r="AF6" s="16">
        <f>$G$64</f>
        <v>557</v>
      </c>
      <c r="AG6" s="16">
        <f>$H$64</f>
        <v>328</v>
      </c>
      <c r="AH6" s="20">
        <f>Table2330[[#This Row],[Wins]]/(Table2330[[#This Row],[Wins]]+Table2330[[#This Row],[Losses]])</f>
        <v>0.62937853107344632</v>
      </c>
      <c r="AJ6" s="16" t="s">
        <v>0</v>
      </c>
      <c r="AK6" s="22">
        <f>$E$64</f>
        <v>168.5</v>
      </c>
    </row>
    <row r="7" spans="2:39">
      <c r="B7" s="3">
        <v>2</v>
      </c>
      <c r="C7">
        <v>12</v>
      </c>
      <c r="D7">
        <v>8</v>
      </c>
      <c r="E7" s="4">
        <v>0</v>
      </c>
      <c r="F7" s="3">
        <v>2</v>
      </c>
      <c r="G7" s="1">
        <v>15</v>
      </c>
      <c r="H7" s="1">
        <v>5</v>
      </c>
      <c r="I7" s="1">
        <v>2.5</v>
      </c>
      <c r="J7" s="3">
        <v>2</v>
      </c>
      <c r="K7">
        <v>14</v>
      </c>
      <c r="L7">
        <v>6</v>
      </c>
      <c r="M7" s="4">
        <v>4.5</v>
      </c>
      <c r="N7" s="3">
        <v>2</v>
      </c>
      <c r="O7">
        <v>15</v>
      </c>
      <c r="P7">
        <v>5</v>
      </c>
      <c r="Q7" s="4">
        <v>0</v>
      </c>
      <c r="R7" s="3">
        <v>2</v>
      </c>
      <c r="S7">
        <v>13</v>
      </c>
      <c r="T7">
        <v>7</v>
      </c>
      <c r="U7" s="4">
        <v>0</v>
      </c>
      <c r="W7" s="15" t="s">
        <v>1</v>
      </c>
      <c r="X7" s="15">
        <f>jack2023[[#Totals],[Win]]</f>
        <v>163</v>
      </c>
      <c r="Y7" s="15">
        <f>jack2023[[#Totals],[Losses]]</f>
        <v>88</v>
      </c>
      <c r="Z7" s="19">
        <f>Table23[[#This Row],[Wins]]/(Table23[[#This Row],[Wins]]+Table23[[#This Row],[Losses]])</f>
        <v>0.64940239043824699</v>
      </c>
      <c r="AB7" s="15" t="s">
        <v>0</v>
      </c>
      <c r="AC7" s="15">
        <f>jp[[#Totals],[Superdawg]]</f>
        <v>50.5</v>
      </c>
      <c r="AE7" s="23" t="s">
        <v>2</v>
      </c>
      <c r="AF7" s="15">
        <f>$K$64</f>
        <v>541</v>
      </c>
      <c r="AG7" s="15">
        <f>$L$64</f>
        <v>344</v>
      </c>
      <c r="AH7" s="19">
        <f>Table2330[[#This Row],[Wins]]/(Table2330[[#This Row],[Wins]]+Table2330[[#This Row],[Losses]])</f>
        <v>0.61129943502824857</v>
      </c>
      <c r="AJ7" s="15" t="s">
        <v>2</v>
      </c>
      <c r="AK7" s="24">
        <f>$M$64</f>
        <v>153.5</v>
      </c>
    </row>
    <row r="8" spans="2:39">
      <c r="B8" s="3">
        <v>3</v>
      </c>
      <c r="C8">
        <v>14</v>
      </c>
      <c r="D8">
        <v>6</v>
      </c>
      <c r="E8" s="4">
        <v>11</v>
      </c>
      <c r="F8" s="3">
        <v>3</v>
      </c>
      <c r="G8" s="1">
        <v>12</v>
      </c>
      <c r="H8" s="1">
        <v>8</v>
      </c>
      <c r="I8" s="1">
        <v>0</v>
      </c>
      <c r="J8" s="3">
        <v>3</v>
      </c>
      <c r="K8">
        <v>10</v>
      </c>
      <c r="L8">
        <v>10</v>
      </c>
      <c r="M8" s="4">
        <v>0</v>
      </c>
      <c r="N8" s="3">
        <v>3</v>
      </c>
      <c r="O8">
        <v>12</v>
      </c>
      <c r="P8">
        <v>8</v>
      </c>
      <c r="Q8" s="4">
        <v>0</v>
      </c>
      <c r="R8" s="3">
        <v>3</v>
      </c>
      <c r="S8">
        <v>13</v>
      </c>
      <c r="T8">
        <v>7</v>
      </c>
      <c r="U8" s="4">
        <v>10</v>
      </c>
      <c r="W8" s="17" t="s">
        <v>4</v>
      </c>
      <c r="X8" s="17">
        <f>jack2023[[#Totals],[Win]]</f>
        <v>163</v>
      </c>
      <c r="Y8" s="17">
        <f>michael2023[[#Totals],[Losses]]</f>
        <v>97</v>
      </c>
      <c r="Z8" s="18">
        <f>Table23[[#This Row],[Wins]]/(Table23[[#This Row],[Wins]]+Table23[[#This Row],[Losses]])</f>
        <v>0.62692307692307692</v>
      </c>
      <c r="AB8" s="17" t="s">
        <v>2</v>
      </c>
      <c r="AC8" s="17">
        <f>robert2023[[#Totals],[Superdawg]]</f>
        <v>47</v>
      </c>
      <c r="AE8" s="25" t="s">
        <v>0</v>
      </c>
      <c r="AF8" s="17">
        <f>$C$64</f>
        <v>534</v>
      </c>
      <c r="AG8" s="17">
        <f>$D$64</f>
        <v>351</v>
      </c>
      <c r="AH8" s="18">
        <f>Table2330[[#This Row],[Wins]]/(Table2330[[#This Row],[Wins]]+Table2330[[#This Row],[Losses]])</f>
        <v>0.60338983050847461</v>
      </c>
      <c r="AJ8" s="17" t="s">
        <v>4</v>
      </c>
      <c r="AK8" s="26">
        <f>$U$64</f>
        <v>130</v>
      </c>
    </row>
    <row r="9" spans="2:39">
      <c r="B9" s="3">
        <v>4</v>
      </c>
      <c r="C9">
        <v>11</v>
      </c>
      <c r="D9">
        <v>9</v>
      </c>
      <c r="E9" s="4"/>
      <c r="F9" s="3">
        <v>4</v>
      </c>
      <c r="G9" s="1">
        <v>15</v>
      </c>
      <c r="H9" s="1">
        <v>5</v>
      </c>
      <c r="I9" s="1"/>
      <c r="J9" s="3">
        <v>4</v>
      </c>
      <c r="K9">
        <v>14</v>
      </c>
      <c r="L9">
        <v>6</v>
      </c>
      <c r="M9" s="4"/>
      <c r="N9" s="3">
        <v>4</v>
      </c>
      <c r="O9">
        <v>15</v>
      </c>
      <c r="P9">
        <v>5</v>
      </c>
      <c r="Q9" s="4"/>
      <c r="R9" s="3">
        <v>4</v>
      </c>
      <c r="S9">
        <v>14</v>
      </c>
      <c r="T9">
        <v>6</v>
      </c>
      <c r="U9" s="4"/>
      <c r="W9" t="s">
        <v>2</v>
      </c>
      <c r="X9">
        <f>robert2023[[#Totals],[Win]]</f>
        <v>157</v>
      </c>
      <c r="Y9">
        <f>robert2023[[#Totals],[Losses]]</f>
        <v>94</v>
      </c>
      <c r="Z9" s="8">
        <f>Table23[[#This Row],[Wins]]/(Table23[[#This Row],[Wins]]+Table23[[#This Row],[Losses]])</f>
        <v>0.62549800796812749</v>
      </c>
      <c r="AB9" t="s">
        <v>1</v>
      </c>
      <c r="AC9">
        <f>jack2023[[#Totals],[Superdawg]]</f>
        <v>27.5</v>
      </c>
      <c r="AE9" s="9" t="s">
        <v>3</v>
      </c>
      <c r="AF9">
        <f>$O$64</f>
        <v>534</v>
      </c>
      <c r="AG9">
        <f>$P$64</f>
        <v>351</v>
      </c>
      <c r="AH9" s="8">
        <f>Table2330[[#This Row],[Wins]]/(Table2330[[#This Row],[Wins]]+Table2330[[#This Row],[Losses]])</f>
        <v>0.60338983050847461</v>
      </c>
      <c r="AJ9" t="s">
        <v>1</v>
      </c>
      <c r="AK9" s="10">
        <f>$I$64</f>
        <v>86.5</v>
      </c>
    </row>
    <row r="10" spans="2:39" ht="15.95" thickBot="1">
      <c r="B10" s="3">
        <v>5</v>
      </c>
      <c r="C10">
        <v>12</v>
      </c>
      <c r="D10">
        <v>8</v>
      </c>
      <c r="E10" s="4">
        <v>14.5</v>
      </c>
      <c r="F10" s="3">
        <v>5</v>
      </c>
      <c r="G10" s="1">
        <v>14</v>
      </c>
      <c r="H10" s="1">
        <v>6</v>
      </c>
      <c r="I10" s="1">
        <v>0</v>
      </c>
      <c r="J10" s="3">
        <v>5</v>
      </c>
      <c r="K10">
        <v>16</v>
      </c>
      <c r="L10">
        <v>4</v>
      </c>
      <c r="M10" s="4">
        <v>11</v>
      </c>
      <c r="N10" s="3">
        <v>5</v>
      </c>
      <c r="O10">
        <v>12</v>
      </c>
      <c r="P10">
        <v>8</v>
      </c>
      <c r="Q10" s="4">
        <v>11</v>
      </c>
      <c r="R10" s="3">
        <v>5</v>
      </c>
      <c r="S10">
        <v>15</v>
      </c>
      <c r="T10">
        <v>5</v>
      </c>
      <c r="U10" s="4">
        <v>0</v>
      </c>
      <c r="W10" t="s">
        <v>0</v>
      </c>
      <c r="X10">
        <f>jp[[#Totals],[Win]]</f>
        <v>156</v>
      </c>
      <c r="Y10">
        <f>jp[[#Totals],[Losses]]</f>
        <v>95</v>
      </c>
      <c r="Z10" s="8">
        <f>Table23[[#This Row],[Wins]]/(Table23[[#This Row],[Wins]]+Table23[[#This Row],[Losses]])</f>
        <v>0.62151394422310757</v>
      </c>
      <c r="AB10" t="s">
        <v>3</v>
      </c>
      <c r="AC10">
        <f>jackson2023[[#Totals],[Superdawg]]</f>
        <v>25.5</v>
      </c>
      <c r="AE10" s="11" t="s">
        <v>4</v>
      </c>
      <c r="AF10" s="12">
        <f>$S$64</f>
        <v>520</v>
      </c>
      <c r="AG10" s="12">
        <f>$T$64</f>
        <v>365</v>
      </c>
      <c r="AH10" s="13">
        <f>Table2330[[#This Row],[Wins]]/(Table2330[[#This Row],[Wins]]+Table2330[[#This Row],[Losses]])</f>
        <v>0.58757062146892658</v>
      </c>
      <c r="AI10" s="12"/>
      <c r="AJ10" s="12" t="s">
        <v>3</v>
      </c>
      <c r="AK10" s="14">
        <f>$Q$64</f>
        <v>82</v>
      </c>
    </row>
    <row r="11" spans="2:39">
      <c r="B11" s="3">
        <v>6</v>
      </c>
      <c r="C11">
        <v>13</v>
      </c>
      <c r="D11">
        <v>7</v>
      </c>
      <c r="E11" s="4">
        <v>3.5</v>
      </c>
      <c r="F11" s="3">
        <v>6</v>
      </c>
      <c r="G11" s="1">
        <v>13</v>
      </c>
      <c r="H11" s="1">
        <v>7</v>
      </c>
      <c r="I11" s="1">
        <v>3.5</v>
      </c>
      <c r="J11" s="3">
        <v>6</v>
      </c>
      <c r="K11">
        <v>14</v>
      </c>
      <c r="L11">
        <v>6</v>
      </c>
      <c r="M11" s="4">
        <v>6.5</v>
      </c>
      <c r="N11" s="3">
        <v>6</v>
      </c>
      <c r="O11">
        <v>14</v>
      </c>
      <c r="P11">
        <v>6</v>
      </c>
      <c r="Q11" s="4">
        <v>0</v>
      </c>
      <c r="R11" s="3">
        <v>6</v>
      </c>
      <c r="S11">
        <v>13</v>
      </c>
      <c r="T11">
        <v>7</v>
      </c>
      <c r="U11" s="4">
        <v>19.5</v>
      </c>
    </row>
    <row r="12" spans="2:39">
      <c r="B12" s="3">
        <v>7</v>
      </c>
      <c r="C12">
        <v>12</v>
      </c>
      <c r="D12">
        <v>8</v>
      </c>
      <c r="E12" s="4">
        <v>5</v>
      </c>
      <c r="F12" s="3">
        <v>7</v>
      </c>
      <c r="G12" s="1">
        <v>8</v>
      </c>
      <c r="H12" s="1">
        <v>12</v>
      </c>
      <c r="I12" s="1">
        <v>0</v>
      </c>
      <c r="J12" s="3">
        <v>7</v>
      </c>
      <c r="K12">
        <v>7</v>
      </c>
      <c r="L12">
        <v>13</v>
      </c>
      <c r="M12" s="4">
        <v>10</v>
      </c>
      <c r="N12" s="3">
        <v>7</v>
      </c>
      <c r="O12">
        <v>9</v>
      </c>
      <c r="P12">
        <v>11</v>
      </c>
      <c r="Q12" s="4">
        <v>3.5</v>
      </c>
      <c r="R12" s="3">
        <v>7</v>
      </c>
      <c r="S12">
        <v>9</v>
      </c>
      <c r="T12">
        <v>11</v>
      </c>
      <c r="U12" s="4"/>
      <c r="AE12" s="27" t="s">
        <v>19</v>
      </c>
      <c r="AF12" s="27"/>
      <c r="AG12" s="27"/>
      <c r="AH12" s="27"/>
      <c r="AI12" s="27"/>
    </row>
    <row r="13" spans="2:39">
      <c r="B13" s="3">
        <v>8</v>
      </c>
      <c r="C13">
        <v>9</v>
      </c>
      <c r="D13">
        <v>11</v>
      </c>
      <c r="E13" s="4">
        <v>0</v>
      </c>
      <c r="F13" s="3">
        <v>8</v>
      </c>
      <c r="G13" s="1">
        <v>12</v>
      </c>
      <c r="H13" s="1">
        <v>8</v>
      </c>
      <c r="I13" s="1">
        <v>0</v>
      </c>
      <c r="J13" s="3">
        <v>8</v>
      </c>
      <c r="K13">
        <v>13</v>
      </c>
      <c r="L13">
        <v>7</v>
      </c>
      <c r="M13" s="4">
        <v>5.5</v>
      </c>
      <c r="N13" s="3">
        <v>8</v>
      </c>
      <c r="O13">
        <v>13</v>
      </c>
      <c r="P13">
        <v>7</v>
      </c>
      <c r="Q13" s="4">
        <v>0</v>
      </c>
      <c r="R13" s="3">
        <v>8</v>
      </c>
      <c r="S13">
        <v>12</v>
      </c>
      <c r="T13">
        <v>8</v>
      </c>
      <c r="U13" s="4">
        <v>0.5</v>
      </c>
      <c r="AE13" t="s">
        <v>20</v>
      </c>
      <c r="AF13" t="s">
        <v>21</v>
      </c>
      <c r="AG13" t="s">
        <v>22</v>
      </c>
      <c r="AH13" t="s">
        <v>23</v>
      </c>
      <c r="AI13" t="s">
        <v>13</v>
      </c>
      <c r="AJ13" t="s">
        <v>24</v>
      </c>
    </row>
    <row r="14" spans="2:39">
      <c r="B14" s="3">
        <v>9</v>
      </c>
      <c r="C14">
        <v>14</v>
      </c>
      <c r="D14">
        <v>6</v>
      </c>
      <c r="E14" s="4">
        <v>0</v>
      </c>
      <c r="F14" s="3">
        <v>9</v>
      </c>
      <c r="G14" s="1">
        <v>13</v>
      </c>
      <c r="H14" s="1">
        <v>7</v>
      </c>
      <c r="I14" s="1">
        <v>10</v>
      </c>
      <c r="J14" s="3">
        <v>9</v>
      </c>
      <c r="K14">
        <v>11</v>
      </c>
      <c r="L14">
        <v>9</v>
      </c>
      <c r="M14" s="4">
        <v>0</v>
      </c>
      <c r="N14" s="3">
        <v>9</v>
      </c>
      <c r="O14">
        <v>15</v>
      </c>
      <c r="P14">
        <v>5</v>
      </c>
      <c r="Q14" s="4">
        <v>3.5</v>
      </c>
      <c r="R14" s="3">
        <v>9</v>
      </c>
      <c r="S14">
        <v>14</v>
      </c>
      <c r="T14">
        <v>6</v>
      </c>
      <c r="U14" s="4">
        <v>7</v>
      </c>
      <c r="AE14">
        <v>2023</v>
      </c>
      <c r="AF14" t="s">
        <v>3</v>
      </c>
      <c r="AG14" t="s">
        <v>25</v>
      </c>
      <c r="AH14" t="s">
        <v>25</v>
      </c>
      <c r="AI14" t="s">
        <v>4</v>
      </c>
    </row>
    <row r="15" spans="2:39">
      <c r="B15" s="3">
        <v>10</v>
      </c>
      <c r="C15">
        <v>12</v>
      </c>
      <c r="D15">
        <v>8</v>
      </c>
      <c r="E15" s="4">
        <v>7</v>
      </c>
      <c r="F15" s="3">
        <v>10</v>
      </c>
      <c r="G15" s="1">
        <v>13</v>
      </c>
      <c r="H15" s="1">
        <v>7</v>
      </c>
      <c r="I15" s="1">
        <v>0</v>
      </c>
      <c r="J15" s="3">
        <v>10</v>
      </c>
      <c r="K15">
        <v>11</v>
      </c>
      <c r="L15">
        <v>9</v>
      </c>
      <c r="M15" s="4">
        <v>6</v>
      </c>
      <c r="N15" s="3">
        <v>10</v>
      </c>
      <c r="O15">
        <v>16</v>
      </c>
      <c r="P15">
        <v>4</v>
      </c>
      <c r="Q15" s="4">
        <v>6</v>
      </c>
      <c r="R15" s="3">
        <v>10</v>
      </c>
      <c r="S15">
        <v>12</v>
      </c>
      <c r="T15">
        <v>8</v>
      </c>
      <c r="U15" s="4">
        <v>0</v>
      </c>
      <c r="AE15">
        <v>2024</v>
      </c>
      <c r="AF15" t="s">
        <v>0</v>
      </c>
      <c r="AG15" t="s">
        <v>25</v>
      </c>
      <c r="AH15" t="s">
        <v>25</v>
      </c>
      <c r="AI15" t="s">
        <v>0</v>
      </c>
    </row>
    <row r="16" spans="2:39">
      <c r="B16" s="3">
        <v>11</v>
      </c>
      <c r="C16">
        <v>14</v>
      </c>
      <c r="D16">
        <v>6</v>
      </c>
      <c r="E16" s="4">
        <v>0</v>
      </c>
      <c r="F16" s="3">
        <v>11</v>
      </c>
      <c r="G16" s="1">
        <v>14</v>
      </c>
      <c r="H16" s="1">
        <v>6</v>
      </c>
      <c r="I16" s="1">
        <v>2.5</v>
      </c>
      <c r="J16" s="3">
        <v>11</v>
      </c>
      <c r="K16">
        <v>15</v>
      </c>
      <c r="L16">
        <v>5</v>
      </c>
      <c r="M16" s="4">
        <v>0</v>
      </c>
      <c r="N16" s="3">
        <v>11</v>
      </c>
      <c r="O16">
        <v>13</v>
      </c>
      <c r="P16">
        <v>7</v>
      </c>
      <c r="Q16" s="4">
        <v>0</v>
      </c>
      <c r="R16" s="3">
        <v>11</v>
      </c>
      <c r="S16">
        <v>6</v>
      </c>
      <c r="T16">
        <v>14</v>
      </c>
      <c r="U16" s="4">
        <v>12.5</v>
      </c>
      <c r="AE16">
        <v>2025</v>
      </c>
      <c r="AF16" t="s">
        <v>2</v>
      </c>
      <c r="AG16" t="s">
        <v>4</v>
      </c>
      <c r="AH16" t="s">
        <v>2</v>
      </c>
      <c r="AI16" t="s">
        <v>0</v>
      </c>
    </row>
    <row r="17" spans="2:31">
      <c r="B17" s="3">
        <v>12</v>
      </c>
      <c r="C17">
        <v>13</v>
      </c>
      <c r="D17">
        <v>7</v>
      </c>
      <c r="E17" s="4">
        <v>0</v>
      </c>
      <c r="F17" s="3">
        <v>12</v>
      </c>
      <c r="G17" s="1">
        <v>13</v>
      </c>
      <c r="H17" s="1">
        <v>7</v>
      </c>
      <c r="I17" s="1">
        <v>9</v>
      </c>
      <c r="J17" s="3">
        <v>12</v>
      </c>
      <c r="K17">
        <v>14</v>
      </c>
      <c r="L17">
        <v>6</v>
      </c>
      <c r="M17" s="4">
        <v>3.5</v>
      </c>
      <c r="N17" s="3">
        <v>12</v>
      </c>
      <c r="O17">
        <v>12</v>
      </c>
      <c r="P17">
        <v>8</v>
      </c>
      <c r="Q17" s="4">
        <v>1.5</v>
      </c>
      <c r="R17" s="3">
        <v>12</v>
      </c>
      <c r="S17">
        <v>13</v>
      </c>
      <c r="T17">
        <v>7</v>
      </c>
      <c r="U17" s="4">
        <v>17.5</v>
      </c>
      <c r="AE17">
        <v>2026</v>
      </c>
    </row>
    <row r="18" spans="2:31">
      <c r="B18" s="3">
        <v>13</v>
      </c>
      <c r="C18">
        <v>15</v>
      </c>
      <c r="D18">
        <v>5</v>
      </c>
      <c r="E18" s="4">
        <v>0</v>
      </c>
      <c r="F18" s="3">
        <v>13</v>
      </c>
      <c r="G18" s="1">
        <v>14</v>
      </c>
      <c r="H18" s="1">
        <v>6</v>
      </c>
      <c r="I18" s="1">
        <v>0</v>
      </c>
      <c r="J18" s="3">
        <v>13</v>
      </c>
      <c r="K18">
        <v>14</v>
      </c>
      <c r="L18">
        <v>6</v>
      </c>
      <c r="M18" s="4">
        <v>0</v>
      </c>
      <c r="N18" s="3">
        <v>13</v>
      </c>
      <c r="O18">
        <v>16</v>
      </c>
      <c r="P18">
        <v>4</v>
      </c>
      <c r="Q18" s="4">
        <v>0</v>
      </c>
      <c r="R18" s="3">
        <v>13</v>
      </c>
      <c r="S18">
        <v>16</v>
      </c>
      <c r="T18">
        <v>4</v>
      </c>
      <c r="U18" s="4">
        <v>0</v>
      </c>
      <c r="AE18">
        <v>2027</v>
      </c>
    </row>
    <row r="19" spans="2:31">
      <c r="B19" s="3" t="s">
        <v>26</v>
      </c>
      <c r="C19">
        <v>5</v>
      </c>
      <c r="D19">
        <v>6</v>
      </c>
      <c r="E19" s="4">
        <v>9.5</v>
      </c>
      <c r="F19" s="3" t="s">
        <v>26</v>
      </c>
      <c r="G19" s="1">
        <v>7</v>
      </c>
      <c r="H19" s="1">
        <v>4</v>
      </c>
      <c r="I19" s="1">
        <v>0</v>
      </c>
      <c r="J19" s="3" t="s">
        <v>26</v>
      </c>
      <c r="K19">
        <v>4</v>
      </c>
      <c r="L19">
        <v>7</v>
      </c>
      <c r="M19" s="4">
        <v>0</v>
      </c>
      <c r="N19" s="3" t="s">
        <v>26</v>
      </c>
      <c r="O19">
        <v>4</v>
      </c>
      <c r="P19">
        <v>7</v>
      </c>
      <c r="Q19" s="4">
        <v>0</v>
      </c>
      <c r="R19" s="3" t="s">
        <v>26</v>
      </c>
      <c r="S19">
        <v>4</v>
      </c>
      <c r="T19">
        <v>7</v>
      </c>
      <c r="U19" s="4">
        <v>0</v>
      </c>
      <c r="AE19">
        <v>2028</v>
      </c>
    </row>
    <row r="20" spans="2:31">
      <c r="B20" s="3" t="s">
        <v>23</v>
      </c>
      <c r="C20" t="s">
        <v>14</v>
      </c>
      <c r="D20" t="s">
        <v>14</v>
      </c>
      <c r="E20" s="4" t="s">
        <v>14</v>
      </c>
      <c r="F20" s="3" t="s">
        <v>23</v>
      </c>
      <c r="G20" s="1" t="s">
        <v>14</v>
      </c>
      <c r="H20" s="1" t="s">
        <v>14</v>
      </c>
      <c r="I20" s="1" t="s">
        <v>14</v>
      </c>
      <c r="J20" s="3" t="s">
        <v>23</v>
      </c>
      <c r="K20" t="s">
        <v>14</v>
      </c>
      <c r="L20" t="s">
        <v>14</v>
      </c>
      <c r="M20" s="4" t="s">
        <v>14</v>
      </c>
      <c r="N20" s="3" t="s">
        <v>23</v>
      </c>
      <c r="O20" t="s">
        <v>14</v>
      </c>
      <c r="P20" t="s">
        <v>14</v>
      </c>
      <c r="Q20" s="4" t="s">
        <v>14</v>
      </c>
      <c r="R20" s="3" t="s">
        <v>23</v>
      </c>
      <c r="S20" t="s">
        <v>14</v>
      </c>
      <c r="T20" t="s">
        <v>14</v>
      </c>
      <c r="U20" s="4" t="s">
        <v>14</v>
      </c>
    </row>
    <row r="21" spans="2:31">
      <c r="B21" s="3" t="s">
        <v>27</v>
      </c>
      <c r="C21">
        <f>SUBTOTAL(109,jp[Win])</f>
        <v>156</v>
      </c>
      <c r="D21">
        <f>SUBTOTAL(109,jp[Losses])</f>
        <v>95</v>
      </c>
      <c r="E21" s="4">
        <f>SUBTOTAL(109,jp[Superdawg])</f>
        <v>50.5</v>
      </c>
      <c r="F21" s="3" t="s">
        <v>27</v>
      </c>
      <c r="G21">
        <f>SUBTOTAL(109,jack2023[Win])</f>
        <v>163</v>
      </c>
      <c r="H21">
        <f>SUBTOTAL(109,jack2023[Losses])</f>
        <v>88</v>
      </c>
      <c r="I21" s="4">
        <f>SUBTOTAL(109,jack2023[Superdawg])</f>
        <v>27.5</v>
      </c>
      <c r="J21" s="3" t="s">
        <v>27</v>
      </c>
      <c r="K21">
        <f>SUBTOTAL(109,robert2023[Win])</f>
        <v>157</v>
      </c>
      <c r="L21">
        <f>SUBTOTAL(109,robert2023[Losses])</f>
        <v>94</v>
      </c>
      <c r="M21" s="4">
        <f>SUBTOTAL(109,robert2023[Superdawg])</f>
        <v>47</v>
      </c>
      <c r="N21" s="3" t="s">
        <v>27</v>
      </c>
      <c r="O21">
        <f>SUBTOTAL(109,jackson2023[Win])</f>
        <v>166</v>
      </c>
      <c r="P21">
        <f>SUBTOTAL(109,jackson2023[Losses])</f>
        <v>85</v>
      </c>
      <c r="Q21" s="4">
        <f>SUBTOTAL(109,jackson2023[Superdawg])</f>
        <v>25.5</v>
      </c>
      <c r="R21" s="3" t="s">
        <v>27</v>
      </c>
      <c r="S21">
        <f>SUBTOTAL(109,michael2023[Win])</f>
        <v>154</v>
      </c>
      <c r="T21">
        <f>SUBTOTAL(109,michael2023[Losses])</f>
        <v>97</v>
      </c>
      <c r="U21" s="4">
        <f>SUBTOTAL(109,michael2023[Superdawg])</f>
        <v>67</v>
      </c>
    </row>
    <row r="22" spans="2:31">
      <c r="B22" s="5" t="s">
        <v>28</v>
      </c>
      <c r="C22" s="6">
        <f>jp[[#Totals],[Win]]</f>
        <v>156</v>
      </c>
      <c r="D22" s="6">
        <f>jp[[#Totals],[Losses]]</f>
        <v>95</v>
      </c>
      <c r="E22" s="7">
        <f>jp[[#Totals],[Superdawg]]</f>
        <v>50.5</v>
      </c>
      <c r="F22" s="5" t="s">
        <v>28</v>
      </c>
      <c r="G22" s="6">
        <f>jack2023[[#Totals],[Win]]</f>
        <v>163</v>
      </c>
      <c r="H22" s="6">
        <f>jack2023[[#Totals],[Losses]]</f>
        <v>88</v>
      </c>
      <c r="I22" s="7">
        <f>jack2023[[#Totals],[Superdawg]]</f>
        <v>27.5</v>
      </c>
      <c r="J22" s="5" t="s">
        <v>28</v>
      </c>
      <c r="K22" s="6">
        <f>robert2023[[#Totals],[Win]]</f>
        <v>157</v>
      </c>
      <c r="L22" s="6">
        <f>robert2023[[#Totals],[Losses]]</f>
        <v>94</v>
      </c>
      <c r="M22" s="7">
        <f>robert2023[[#Totals],[Superdawg]]</f>
        <v>47</v>
      </c>
      <c r="N22" s="5" t="s">
        <v>28</v>
      </c>
      <c r="O22" s="6">
        <f>jackson2023[[#Totals],[Win]]</f>
        <v>166</v>
      </c>
      <c r="P22" s="6">
        <f>jackson2023[[#Totals],[Losses]]</f>
        <v>85</v>
      </c>
      <c r="Q22" s="7">
        <f>jackson2023[[#Totals],[Superdawg]]</f>
        <v>25.5</v>
      </c>
      <c r="R22" s="5" t="s">
        <v>28</v>
      </c>
      <c r="S22" s="6">
        <f>michael2023[[#Totals],[Win]]</f>
        <v>154</v>
      </c>
      <c r="T22" s="6">
        <f>michael2023[[#Totals],[Losses]]</f>
        <v>97</v>
      </c>
      <c r="U22" s="7">
        <f>michael2023[[#Totals],[Superdawg]]</f>
        <v>67</v>
      </c>
    </row>
    <row r="23" spans="2:31">
      <c r="B23" s="2"/>
      <c r="C23" s="30">
        <v>2024</v>
      </c>
      <c r="D23" s="30"/>
      <c r="E23" s="31"/>
      <c r="F23" s="2"/>
      <c r="G23" s="30">
        <v>2024</v>
      </c>
      <c r="H23" s="30"/>
      <c r="I23" s="31"/>
      <c r="J23" s="2"/>
      <c r="K23" s="30">
        <v>2024</v>
      </c>
      <c r="L23" s="30"/>
      <c r="M23" s="31"/>
      <c r="N23" s="2"/>
      <c r="O23" s="30">
        <v>2024</v>
      </c>
      <c r="P23" s="30"/>
      <c r="Q23" s="31"/>
      <c r="R23" s="2"/>
      <c r="S23" s="30">
        <v>2024</v>
      </c>
      <c r="T23" s="30"/>
      <c r="U23" s="31"/>
      <c r="W23" s="27" t="s">
        <v>29</v>
      </c>
      <c r="X23" s="27"/>
      <c r="Y23" s="27"/>
      <c r="Z23" s="27"/>
      <c r="AA23" s="27"/>
      <c r="AB23" s="27"/>
      <c r="AC23" s="27"/>
    </row>
    <row r="24" spans="2:31">
      <c r="B24" s="3" t="s">
        <v>8</v>
      </c>
      <c r="C24" t="s">
        <v>9</v>
      </c>
      <c r="D24" t="s">
        <v>10</v>
      </c>
      <c r="E24" s="4" t="s">
        <v>11</v>
      </c>
      <c r="F24" s="3" t="s">
        <v>8</v>
      </c>
      <c r="G24" t="s">
        <v>9</v>
      </c>
      <c r="H24" t="s">
        <v>10</v>
      </c>
      <c r="I24" s="4" t="s">
        <v>11</v>
      </c>
      <c r="J24" s="3" t="s">
        <v>8</v>
      </c>
      <c r="K24" t="s">
        <v>9</v>
      </c>
      <c r="L24" t="s">
        <v>10</v>
      </c>
      <c r="M24" s="4" t="s">
        <v>11</v>
      </c>
      <c r="N24" s="3" t="s">
        <v>8</v>
      </c>
      <c r="O24" t="s">
        <v>9</v>
      </c>
      <c r="P24" t="s">
        <v>10</v>
      </c>
      <c r="Q24" s="4" t="s">
        <v>11</v>
      </c>
      <c r="R24" s="3" t="s">
        <v>8</v>
      </c>
      <c r="S24" t="s">
        <v>9</v>
      </c>
      <c r="T24" t="s">
        <v>10</v>
      </c>
      <c r="U24" s="4" t="s">
        <v>11</v>
      </c>
      <c r="W24" s="27" t="s">
        <v>12</v>
      </c>
      <c r="X24" s="27"/>
      <c r="Y24" s="27"/>
      <c r="Z24" s="27"/>
      <c r="AB24" s="27" t="s">
        <v>13</v>
      </c>
      <c r="AC24" s="27"/>
    </row>
    <row r="25" spans="2:31">
      <c r="B25" s="3">
        <v>0</v>
      </c>
      <c r="C25">
        <v>3</v>
      </c>
      <c r="D25">
        <v>1</v>
      </c>
      <c r="E25" s="4">
        <v>0</v>
      </c>
      <c r="F25" s="3">
        <v>0</v>
      </c>
      <c r="G25" s="1">
        <v>3</v>
      </c>
      <c r="H25" s="1">
        <v>1</v>
      </c>
      <c r="I25" s="1">
        <v>0</v>
      </c>
      <c r="J25" s="3">
        <v>0</v>
      </c>
      <c r="K25">
        <v>3</v>
      </c>
      <c r="L25">
        <v>1</v>
      </c>
      <c r="M25" s="4">
        <v>0</v>
      </c>
      <c r="N25" s="3">
        <v>0</v>
      </c>
      <c r="O25">
        <v>4</v>
      </c>
      <c r="P25">
        <v>0</v>
      </c>
      <c r="Q25" s="4">
        <v>0</v>
      </c>
      <c r="R25" s="3">
        <v>0</v>
      </c>
      <c r="S25">
        <v>3</v>
      </c>
      <c r="T25">
        <v>1</v>
      </c>
      <c r="U25" s="4">
        <v>0</v>
      </c>
      <c r="W25" t="s">
        <v>15</v>
      </c>
      <c r="X25" t="s">
        <v>16</v>
      </c>
      <c r="Y25" t="s">
        <v>10</v>
      </c>
      <c r="Z25" s="8" t="s">
        <v>17</v>
      </c>
      <c r="AB25" t="s">
        <v>15</v>
      </c>
      <c r="AC25" t="s">
        <v>18</v>
      </c>
    </row>
    <row r="26" spans="2:31">
      <c r="B26" s="3">
        <v>1</v>
      </c>
      <c r="C26">
        <v>14</v>
      </c>
      <c r="D26">
        <v>6</v>
      </c>
      <c r="E26" s="4">
        <v>4.5</v>
      </c>
      <c r="F26" s="3">
        <v>1</v>
      </c>
      <c r="G26" s="1">
        <v>12</v>
      </c>
      <c r="H26" s="1">
        <v>8</v>
      </c>
      <c r="I26" s="1">
        <v>11.5</v>
      </c>
      <c r="J26" s="3">
        <v>1</v>
      </c>
      <c r="K26">
        <v>14</v>
      </c>
      <c r="L26">
        <v>6</v>
      </c>
      <c r="M26" s="4">
        <v>0</v>
      </c>
      <c r="N26" s="3">
        <v>1</v>
      </c>
      <c r="O26">
        <v>16</v>
      </c>
      <c r="P26">
        <v>4</v>
      </c>
      <c r="Q26" s="4">
        <v>13.5</v>
      </c>
      <c r="R26" s="3">
        <v>1</v>
      </c>
      <c r="S26">
        <v>14</v>
      </c>
      <c r="T26">
        <v>6</v>
      </c>
      <c r="U26" s="4">
        <v>0</v>
      </c>
      <c r="W26" s="16" t="s">
        <v>1</v>
      </c>
      <c r="X26" s="16">
        <f>jack2024[[#Totals],[Win]]</f>
        <v>183</v>
      </c>
      <c r="Y26" s="16">
        <f>jack2024[[#Totals],[Losses]]</f>
        <v>110</v>
      </c>
      <c r="Z26" s="20">
        <f>Table2326[[#This Row],[Wins]]/(Table2326[[#This Row],[Wins]]+Table2326[[#This Row],[Losses]])</f>
        <v>0.62457337883959041</v>
      </c>
      <c r="AB26" s="16" t="s">
        <v>0</v>
      </c>
      <c r="AC26" s="16">
        <f>jpp[[#Totals],[Superdawg]]</f>
        <v>65.5</v>
      </c>
    </row>
    <row r="27" spans="2:31">
      <c r="B27" s="3">
        <v>2</v>
      </c>
      <c r="C27">
        <v>16</v>
      </c>
      <c r="D27">
        <v>4</v>
      </c>
      <c r="E27" s="4">
        <v>10.5</v>
      </c>
      <c r="F27" s="3">
        <v>2</v>
      </c>
      <c r="G27" s="1">
        <v>12</v>
      </c>
      <c r="H27" s="1">
        <v>8</v>
      </c>
      <c r="I27" s="1">
        <v>0</v>
      </c>
      <c r="J27" s="3">
        <v>2</v>
      </c>
      <c r="K27">
        <v>15</v>
      </c>
      <c r="L27">
        <v>5</v>
      </c>
      <c r="M27" s="4">
        <v>8</v>
      </c>
      <c r="N27" s="3">
        <v>2</v>
      </c>
      <c r="O27">
        <v>14</v>
      </c>
      <c r="P27">
        <v>6</v>
      </c>
      <c r="Q27" s="4">
        <v>0</v>
      </c>
      <c r="R27" s="3">
        <v>2</v>
      </c>
      <c r="S27">
        <v>10</v>
      </c>
      <c r="T27">
        <v>10</v>
      </c>
      <c r="U27" s="4">
        <v>3.5</v>
      </c>
      <c r="W27" s="15" t="s">
        <v>0</v>
      </c>
      <c r="X27" s="15">
        <f>jpp[[#Totals],[Win]]</f>
        <v>183</v>
      </c>
      <c r="Y27" s="15">
        <f>jpp[[#Totals],[Losses]]</f>
        <v>110</v>
      </c>
      <c r="Z27" s="19">
        <f>Table2326[[#This Row],[Wins]]/(Table2326[[#This Row],[Wins]]+Table2326[[#This Row],[Losses]])</f>
        <v>0.62457337883959041</v>
      </c>
      <c r="AB27" s="15" t="s">
        <v>2</v>
      </c>
      <c r="AC27" s="15">
        <f>robert2024[[#Totals],[Superdawg]]</f>
        <v>56</v>
      </c>
    </row>
    <row r="28" spans="2:31">
      <c r="B28" s="3">
        <v>3</v>
      </c>
      <c r="C28">
        <v>14</v>
      </c>
      <c r="D28">
        <v>6</v>
      </c>
      <c r="E28" s="4">
        <v>0</v>
      </c>
      <c r="F28" s="3">
        <v>3</v>
      </c>
      <c r="G28" s="1">
        <v>16</v>
      </c>
      <c r="H28" s="1">
        <v>4</v>
      </c>
      <c r="I28" s="1">
        <v>0</v>
      </c>
      <c r="J28" s="3">
        <v>3</v>
      </c>
      <c r="K28">
        <v>13</v>
      </c>
      <c r="L28">
        <v>7</v>
      </c>
      <c r="M28" s="4">
        <v>10.5</v>
      </c>
      <c r="N28" s="3">
        <v>3</v>
      </c>
      <c r="O28">
        <v>14</v>
      </c>
      <c r="P28">
        <v>6</v>
      </c>
      <c r="Q28" s="4">
        <v>4.5</v>
      </c>
      <c r="R28" s="3">
        <v>3</v>
      </c>
      <c r="S28">
        <v>13</v>
      </c>
      <c r="T28">
        <v>7</v>
      </c>
      <c r="U28" s="4">
        <v>0</v>
      </c>
      <c r="W28" s="17" t="s">
        <v>2</v>
      </c>
      <c r="X28" s="17">
        <f>robert2024[[#Totals],[Win]]</f>
        <v>164</v>
      </c>
      <c r="Y28" s="17">
        <f>robert2024[[#Totals],[Losses]]</f>
        <v>129</v>
      </c>
      <c r="Z28" s="18">
        <f>Table2326[[#This Row],[Wins]]/(Table2326[[#This Row],[Wins]]+Table2326[[#This Row],[Losses]])</f>
        <v>0.55972696245733788</v>
      </c>
      <c r="AB28" s="17" t="s">
        <v>3</v>
      </c>
      <c r="AC28" s="17">
        <f>jackson2024[[#Totals],[Superdawg]]</f>
        <v>45</v>
      </c>
    </row>
    <row r="29" spans="2:31">
      <c r="B29" s="3">
        <v>4</v>
      </c>
      <c r="C29">
        <v>10</v>
      </c>
      <c r="D29">
        <v>10</v>
      </c>
      <c r="E29" s="4">
        <v>0</v>
      </c>
      <c r="F29" s="3">
        <v>4</v>
      </c>
      <c r="G29" s="1">
        <v>9</v>
      </c>
      <c r="H29" s="1">
        <v>11</v>
      </c>
      <c r="I29" s="1">
        <v>0</v>
      </c>
      <c r="J29" s="3">
        <v>4</v>
      </c>
      <c r="K29">
        <v>7</v>
      </c>
      <c r="L29">
        <v>13</v>
      </c>
      <c r="M29" s="4">
        <v>0</v>
      </c>
      <c r="N29" s="3">
        <v>4</v>
      </c>
      <c r="O29">
        <v>13</v>
      </c>
      <c r="P29">
        <v>7</v>
      </c>
      <c r="Q29" s="4">
        <v>7</v>
      </c>
      <c r="R29" s="3">
        <v>4</v>
      </c>
      <c r="S29">
        <v>11</v>
      </c>
      <c r="T29">
        <v>9</v>
      </c>
      <c r="U29" s="4">
        <v>5.5</v>
      </c>
      <c r="W29" t="s">
        <v>3</v>
      </c>
      <c r="X29">
        <f>jackson2024[[#Totals],[Win]]</f>
        <v>154</v>
      </c>
      <c r="Y29">
        <f>jackson2024[[#Totals],[Losses]]</f>
        <v>139</v>
      </c>
      <c r="Z29" s="8">
        <f>Table2326[[#This Row],[Wins]]/(Table2326[[#This Row],[Wins]]+Table2326[[#This Row],[Losses]])</f>
        <v>0.52559726962457343</v>
      </c>
      <c r="AB29" t="s">
        <v>1</v>
      </c>
      <c r="AC29">
        <f>jack2024[[#Totals],[Superdawg]]</f>
        <v>36</v>
      </c>
    </row>
    <row r="30" spans="2:31">
      <c r="B30" s="3">
        <v>5</v>
      </c>
      <c r="C30">
        <v>11</v>
      </c>
      <c r="D30">
        <v>9</v>
      </c>
      <c r="E30" s="4">
        <v>3.5</v>
      </c>
      <c r="F30" s="3">
        <v>5</v>
      </c>
      <c r="G30" s="1">
        <v>14</v>
      </c>
      <c r="H30" s="1">
        <v>6</v>
      </c>
      <c r="I30" s="1">
        <v>0</v>
      </c>
      <c r="J30" s="3">
        <v>5</v>
      </c>
      <c r="K30">
        <v>10</v>
      </c>
      <c r="L30">
        <v>10</v>
      </c>
      <c r="M30" s="4">
        <v>3.5</v>
      </c>
      <c r="N30" s="3">
        <v>5</v>
      </c>
      <c r="O30">
        <v>14</v>
      </c>
      <c r="P30">
        <v>6</v>
      </c>
      <c r="Q30" s="4">
        <v>0</v>
      </c>
      <c r="R30" s="3">
        <v>5</v>
      </c>
      <c r="S30">
        <v>13</v>
      </c>
      <c r="T30">
        <v>7</v>
      </c>
      <c r="U30" s="4">
        <v>0</v>
      </c>
      <c r="W30" t="s">
        <v>4</v>
      </c>
      <c r="X30">
        <f>michael2024[[#Totals],[Win]]</f>
        <v>149</v>
      </c>
      <c r="Y30">
        <f>michael2024[[#Totals],[Losses]]</f>
        <v>144</v>
      </c>
      <c r="Z30" s="8">
        <f>Table2326[[#This Row],[Wins]]/(Table2326[[#This Row],[Wins]]+Table2326[[#This Row],[Losses]])</f>
        <v>0.50853242320819114</v>
      </c>
      <c r="AB30" t="s">
        <v>4</v>
      </c>
      <c r="AC30">
        <f>michael2024[[#Totals],[Superdawg]]</f>
        <v>15.5</v>
      </c>
    </row>
    <row r="31" spans="2:31">
      <c r="B31" s="3">
        <v>6</v>
      </c>
      <c r="C31">
        <v>8</v>
      </c>
      <c r="D31">
        <v>12</v>
      </c>
      <c r="E31" s="4">
        <v>11.5</v>
      </c>
      <c r="F31" s="3">
        <v>6</v>
      </c>
      <c r="G31" s="1">
        <v>11</v>
      </c>
      <c r="H31" s="1">
        <v>9</v>
      </c>
      <c r="I31" s="1">
        <v>6.5</v>
      </c>
      <c r="J31" s="3">
        <v>6</v>
      </c>
      <c r="K31">
        <v>6</v>
      </c>
      <c r="L31">
        <v>14</v>
      </c>
      <c r="M31" s="4">
        <v>0</v>
      </c>
      <c r="N31" s="3">
        <v>6</v>
      </c>
      <c r="O31">
        <v>10</v>
      </c>
      <c r="P31">
        <v>10</v>
      </c>
      <c r="Q31" s="4">
        <v>6.5</v>
      </c>
      <c r="R31" s="3">
        <v>6</v>
      </c>
      <c r="S31">
        <v>6</v>
      </c>
      <c r="T31">
        <v>14</v>
      </c>
      <c r="U31" s="4">
        <v>0</v>
      </c>
    </row>
    <row r="32" spans="2:31">
      <c r="B32" s="3">
        <v>7</v>
      </c>
      <c r="C32">
        <v>16</v>
      </c>
      <c r="D32">
        <v>4</v>
      </c>
      <c r="E32" s="4">
        <v>4</v>
      </c>
      <c r="F32" s="3">
        <v>7</v>
      </c>
      <c r="G32" s="1">
        <v>14</v>
      </c>
      <c r="H32" s="1">
        <v>6</v>
      </c>
      <c r="I32" s="1">
        <v>10</v>
      </c>
      <c r="J32" s="3">
        <v>7</v>
      </c>
      <c r="K32">
        <v>13</v>
      </c>
      <c r="L32">
        <v>7</v>
      </c>
      <c r="M32" s="4">
        <v>10</v>
      </c>
      <c r="N32" s="3">
        <v>7</v>
      </c>
      <c r="O32">
        <v>11</v>
      </c>
      <c r="P32">
        <v>9</v>
      </c>
      <c r="Q32" s="4">
        <v>3</v>
      </c>
      <c r="R32" s="3">
        <v>7</v>
      </c>
      <c r="S32">
        <v>14</v>
      </c>
      <c r="T32">
        <v>6</v>
      </c>
      <c r="U32" s="4">
        <v>0</v>
      </c>
    </row>
    <row r="33" spans="2:29">
      <c r="B33" s="3">
        <v>8</v>
      </c>
      <c r="C33">
        <v>9</v>
      </c>
      <c r="D33">
        <v>11</v>
      </c>
      <c r="E33" s="4">
        <v>0</v>
      </c>
      <c r="F33" s="3">
        <v>8</v>
      </c>
      <c r="G33" s="1">
        <v>15</v>
      </c>
      <c r="H33" s="1">
        <v>5</v>
      </c>
      <c r="I33" s="1">
        <v>6.5</v>
      </c>
      <c r="J33" s="3">
        <v>8</v>
      </c>
      <c r="K33">
        <v>11</v>
      </c>
      <c r="L33">
        <v>9</v>
      </c>
      <c r="M33" s="4">
        <v>0</v>
      </c>
      <c r="N33" s="3">
        <v>8</v>
      </c>
      <c r="O33">
        <v>10</v>
      </c>
      <c r="P33">
        <v>10</v>
      </c>
      <c r="Q33" s="4">
        <v>0.5</v>
      </c>
      <c r="R33" s="3">
        <v>8</v>
      </c>
      <c r="S33">
        <v>12</v>
      </c>
      <c r="T33">
        <v>8</v>
      </c>
      <c r="U33" s="4">
        <v>6.5</v>
      </c>
    </row>
    <row r="34" spans="2:29">
      <c r="B34" s="3">
        <v>9</v>
      </c>
      <c r="C34">
        <v>17</v>
      </c>
      <c r="D34">
        <v>3</v>
      </c>
      <c r="E34" s="4">
        <v>0</v>
      </c>
      <c r="F34" s="3">
        <v>9</v>
      </c>
      <c r="G34" s="1">
        <v>16</v>
      </c>
      <c r="H34" s="1">
        <v>4</v>
      </c>
      <c r="I34" s="1">
        <v>0</v>
      </c>
      <c r="J34" s="3">
        <v>9</v>
      </c>
      <c r="K34">
        <v>11</v>
      </c>
      <c r="L34">
        <v>9</v>
      </c>
      <c r="M34" s="4">
        <v>0</v>
      </c>
      <c r="N34" s="3">
        <v>9</v>
      </c>
      <c r="O34">
        <v>14</v>
      </c>
      <c r="P34">
        <v>6</v>
      </c>
      <c r="Q34" s="4">
        <v>0</v>
      </c>
      <c r="R34" s="3">
        <v>9</v>
      </c>
      <c r="S34">
        <v>16</v>
      </c>
      <c r="T34">
        <v>4</v>
      </c>
      <c r="U34" s="4">
        <v>0</v>
      </c>
    </row>
    <row r="35" spans="2:29">
      <c r="B35" s="3">
        <v>10</v>
      </c>
      <c r="C35">
        <v>11</v>
      </c>
      <c r="D35">
        <v>9</v>
      </c>
      <c r="E35" s="4">
        <v>0</v>
      </c>
      <c r="F35" s="3">
        <v>10</v>
      </c>
      <c r="G35" s="1">
        <v>10</v>
      </c>
      <c r="H35" s="1">
        <v>10</v>
      </c>
      <c r="I35" s="1">
        <v>0</v>
      </c>
      <c r="J35" s="3">
        <v>10</v>
      </c>
      <c r="K35">
        <v>14</v>
      </c>
      <c r="L35">
        <v>6</v>
      </c>
      <c r="M35" s="4">
        <v>6.5</v>
      </c>
      <c r="N35" s="3">
        <v>10</v>
      </c>
      <c r="O35">
        <v>8</v>
      </c>
      <c r="P35">
        <v>12</v>
      </c>
      <c r="Q35" s="4">
        <v>0</v>
      </c>
      <c r="R35" s="3">
        <v>10</v>
      </c>
      <c r="S35">
        <v>8</v>
      </c>
      <c r="T35">
        <v>12</v>
      </c>
      <c r="U35" s="4">
        <v>0</v>
      </c>
    </row>
    <row r="36" spans="2:29">
      <c r="B36" s="3">
        <v>11</v>
      </c>
      <c r="C36">
        <v>8</v>
      </c>
      <c r="D36">
        <v>12</v>
      </c>
      <c r="E36" s="4">
        <v>0</v>
      </c>
      <c r="F36" s="3">
        <v>11</v>
      </c>
      <c r="G36" s="1">
        <v>11</v>
      </c>
      <c r="H36" s="1">
        <v>9</v>
      </c>
      <c r="I36" s="1">
        <v>0</v>
      </c>
      <c r="J36" s="3">
        <v>11</v>
      </c>
      <c r="K36">
        <v>11</v>
      </c>
      <c r="L36">
        <v>9</v>
      </c>
      <c r="M36" s="4">
        <v>0</v>
      </c>
      <c r="N36" s="3">
        <v>11</v>
      </c>
      <c r="O36">
        <v>7</v>
      </c>
      <c r="P36">
        <v>13</v>
      </c>
      <c r="Q36" s="4">
        <v>0</v>
      </c>
      <c r="R36" s="3">
        <v>11</v>
      </c>
      <c r="S36">
        <v>7</v>
      </c>
      <c r="T36">
        <v>13</v>
      </c>
      <c r="U36" s="4">
        <v>0</v>
      </c>
    </row>
    <row r="37" spans="2:29">
      <c r="B37" s="3">
        <v>12</v>
      </c>
      <c r="C37">
        <v>13</v>
      </c>
      <c r="D37">
        <v>7</v>
      </c>
      <c r="E37" s="4">
        <v>0</v>
      </c>
      <c r="F37" s="3">
        <v>12</v>
      </c>
      <c r="G37" s="1">
        <v>13</v>
      </c>
      <c r="H37" s="1">
        <v>7</v>
      </c>
      <c r="I37" s="1">
        <v>1.5</v>
      </c>
      <c r="J37" s="3">
        <v>12</v>
      </c>
      <c r="K37">
        <v>13</v>
      </c>
      <c r="L37">
        <v>7</v>
      </c>
      <c r="M37" s="4">
        <v>7</v>
      </c>
      <c r="N37" s="3">
        <v>12</v>
      </c>
      <c r="O37">
        <v>0</v>
      </c>
      <c r="P37">
        <v>20</v>
      </c>
      <c r="Q37" s="4">
        <v>0</v>
      </c>
      <c r="R37" s="3">
        <v>12</v>
      </c>
      <c r="S37">
        <v>0</v>
      </c>
      <c r="T37">
        <v>20</v>
      </c>
      <c r="U37" s="4">
        <v>0</v>
      </c>
    </row>
    <row r="38" spans="2:29">
      <c r="B38" s="3">
        <v>13</v>
      </c>
      <c r="C38">
        <v>13</v>
      </c>
      <c r="D38">
        <v>7</v>
      </c>
      <c r="E38" s="4">
        <v>10</v>
      </c>
      <c r="F38" s="3">
        <v>13</v>
      </c>
      <c r="G38" s="1">
        <v>11</v>
      </c>
      <c r="H38" s="1">
        <v>9</v>
      </c>
      <c r="I38" s="1">
        <v>0</v>
      </c>
      <c r="J38" s="3">
        <v>13</v>
      </c>
      <c r="K38">
        <v>10</v>
      </c>
      <c r="L38">
        <v>10</v>
      </c>
      <c r="M38" s="4">
        <v>0</v>
      </c>
      <c r="N38" s="3">
        <v>13</v>
      </c>
      <c r="O38">
        <v>6</v>
      </c>
      <c r="P38">
        <v>14</v>
      </c>
      <c r="Q38" s="4">
        <v>10</v>
      </c>
      <c r="R38" s="3">
        <v>13</v>
      </c>
      <c r="S38">
        <v>13</v>
      </c>
      <c r="T38">
        <v>7</v>
      </c>
      <c r="U38" s="4"/>
    </row>
    <row r="39" spans="2:29">
      <c r="B39" s="3">
        <v>14</v>
      </c>
      <c r="C39">
        <v>14</v>
      </c>
      <c r="D39">
        <v>6</v>
      </c>
      <c r="E39" s="4">
        <v>17.5</v>
      </c>
      <c r="F39" s="3">
        <v>14</v>
      </c>
      <c r="G39" s="1">
        <v>13</v>
      </c>
      <c r="H39" s="1">
        <v>7</v>
      </c>
      <c r="I39" s="1">
        <v>0</v>
      </c>
      <c r="J39" s="3">
        <v>14</v>
      </c>
      <c r="K39">
        <v>10</v>
      </c>
      <c r="L39">
        <v>10</v>
      </c>
      <c r="M39" s="4">
        <v>10.5</v>
      </c>
      <c r="N39" s="3">
        <v>14</v>
      </c>
      <c r="O39">
        <v>12</v>
      </c>
      <c r="P39">
        <v>8</v>
      </c>
      <c r="Q39" s="4">
        <v>0</v>
      </c>
      <c r="R39" s="3">
        <v>14</v>
      </c>
      <c r="S39">
        <v>8</v>
      </c>
      <c r="T39">
        <v>12</v>
      </c>
      <c r="U39" s="4">
        <v>0</v>
      </c>
    </row>
    <row r="40" spans="2:29">
      <c r="B40" s="3" t="s">
        <v>26</v>
      </c>
      <c r="C40">
        <v>6</v>
      </c>
      <c r="D40">
        <v>3</v>
      </c>
      <c r="E40" s="4">
        <v>4</v>
      </c>
      <c r="F40" s="3" t="s">
        <v>26</v>
      </c>
      <c r="G40" s="1">
        <v>3</v>
      </c>
      <c r="H40" s="1">
        <v>6</v>
      </c>
      <c r="I40" s="1">
        <v>0</v>
      </c>
      <c r="J40" s="3" t="s">
        <v>26</v>
      </c>
      <c r="K40">
        <v>3</v>
      </c>
      <c r="L40">
        <v>6</v>
      </c>
      <c r="M40" s="4">
        <v>0</v>
      </c>
      <c r="N40" s="3" t="s">
        <v>26</v>
      </c>
      <c r="O40">
        <v>1</v>
      </c>
      <c r="P40">
        <v>8</v>
      </c>
      <c r="Q40" s="4">
        <v>0</v>
      </c>
      <c r="R40" s="3" t="s">
        <v>26</v>
      </c>
      <c r="S40">
        <v>1</v>
      </c>
      <c r="T40">
        <v>8</v>
      </c>
      <c r="U40" s="4">
        <v>0</v>
      </c>
    </row>
    <row r="41" spans="2:29">
      <c r="B41" s="3" t="s">
        <v>23</v>
      </c>
      <c r="C41" t="s">
        <v>14</v>
      </c>
      <c r="D41" t="s">
        <v>14</v>
      </c>
      <c r="E41" s="4" t="s">
        <v>14</v>
      </c>
      <c r="F41" s="3" t="s">
        <v>23</v>
      </c>
      <c r="G41" s="1" t="s">
        <v>14</v>
      </c>
      <c r="H41" s="1" t="s">
        <v>14</v>
      </c>
      <c r="I41" s="1" t="s">
        <v>14</v>
      </c>
      <c r="J41" s="3" t="s">
        <v>23</v>
      </c>
      <c r="K41" t="s">
        <v>14</v>
      </c>
      <c r="L41" t="s">
        <v>14</v>
      </c>
      <c r="M41" s="4" t="s">
        <v>14</v>
      </c>
      <c r="N41" s="3" t="s">
        <v>23</v>
      </c>
      <c r="O41" t="s">
        <v>14</v>
      </c>
      <c r="P41" t="s">
        <v>14</v>
      </c>
      <c r="Q41" s="4" t="s">
        <v>14</v>
      </c>
      <c r="R41" s="3" t="s">
        <v>23</v>
      </c>
      <c r="S41" t="s">
        <v>14</v>
      </c>
      <c r="T41" t="s">
        <v>14</v>
      </c>
      <c r="U41" s="4" t="s">
        <v>14</v>
      </c>
    </row>
    <row r="42" spans="2:29">
      <c r="B42" s="3" t="s">
        <v>27</v>
      </c>
      <c r="C42">
        <f>SUBTOTAL(109,jpp[Win])</f>
        <v>183</v>
      </c>
      <c r="D42">
        <f>SUBTOTAL(109,jpp[Losses])</f>
        <v>110</v>
      </c>
      <c r="E42" s="4">
        <f>SUBTOTAL(109,jpp[Superdawg])</f>
        <v>65.5</v>
      </c>
      <c r="F42" s="3" t="s">
        <v>27</v>
      </c>
      <c r="G42">
        <f>SUBTOTAL(109,jack2024[Win])</f>
        <v>183</v>
      </c>
      <c r="H42">
        <f>SUBTOTAL(109,jack2024[Losses])</f>
        <v>110</v>
      </c>
      <c r="I42" s="4">
        <f>SUBTOTAL(109,jack2024[Superdawg])</f>
        <v>36</v>
      </c>
      <c r="J42" s="3" t="s">
        <v>27</v>
      </c>
      <c r="K42">
        <f>SUBTOTAL(109,robert2024[Win])</f>
        <v>164</v>
      </c>
      <c r="L42">
        <f>SUBTOTAL(109,robert2024[Losses])</f>
        <v>129</v>
      </c>
      <c r="M42" s="4">
        <f>SUBTOTAL(109,robert2024[Superdawg])</f>
        <v>56</v>
      </c>
      <c r="N42" s="3" t="s">
        <v>27</v>
      </c>
      <c r="O42">
        <f>SUBTOTAL(109,jackson2024[Win])</f>
        <v>154</v>
      </c>
      <c r="P42">
        <f>SUBTOTAL(109,jackson2024[Losses])</f>
        <v>139</v>
      </c>
      <c r="Q42" s="4">
        <f>SUBTOTAL(109,jackson2024[Superdawg])</f>
        <v>45</v>
      </c>
      <c r="R42" s="3" t="s">
        <v>27</v>
      </c>
      <c r="S42">
        <f>SUBTOTAL(109,michael2024[Win])</f>
        <v>149</v>
      </c>
      <c r="T42">
        <f>SUBTOTAL(109,michael2024[Losses])</f>
        <v>144</v>
      </c>
      <c r="U42" s="4">
        <f>SUBTOTAL(109,michael2024[Superdawg])</f>
        <v>15.5</v>
      </c>
    </row>
    <row r="43" spans="2:29">
      <c r="B43" s="5" t="s">
        <v>28</v>
      </c>
      <c r="C43" s="6">
        <f>jpp[[#Totals],[Win]]+C22</f>
        <v>339</v>
      </c>
      <c r="D43" s="6">
        <f>jpp[[#Totals],[Losses]]+D22</f>
        <v>205</v>
      </c>
      <c r="E43" s="7">
        <f>jpp[[#Totals],[Superdawg]]+E22</f>
        <v>116</v>
      </c>
      <c r="F43" s="5" t="s">
        <v>28</v>
      </c>
      <c r="G43" s="6">
        <f>G22+jack2024[[#Totals],[Win]]</f>
        <v>346</v>
      </c>
      <c r="H43" s="6">
        <f>H22+jack2024[[#Totals],[Losses]]</f>
        <v>198</v>
      </c>
      <c r="I43" s="7">
        <f>I22+jack2024[[#Totals],[Superdawg]]</f>
        <v>63.5</v>
      </c>
      <c r="J43" s="5" t="s">
        <v>28</v>
      </c>
      <c r="K43" s="6">
        <f>K22+robert2024[[#Totals],[Win]]</f>
        <v>321</v>
      </c>
      <c r="L43" s="6">
        <f>L22+robert2024[[#Totals],[Losses]]</f>
        <v>223</v>
      </c>
      <c r="M43" s="7">
        <f>M22+robert2024[[#Totals],[Superdawg]]</f>
        <v>103</v>
      </c>
      <c r="N43" s="5" t="s">
        <v>28</v>
      </c>
      <c r="O43" s="6">
        <f>O22+jackson2024[[#Totals],[Win]]</f>
        <v>320</v>
      </c>
      <c r="P43" s="6">
        <f>P22+jackson2024[[#Totals],[Losses]]</f>
        <v>224</v>
      </c>
      <c r="Q43" s="7">
        <f>Q22+jackson2024[[#Totals],[Superdawg]]</f>
        <v>70.5</v>
      </c>
      <c r="R43" s="5" t="s">
        <v>28</v>
      </c>
      <c r="S43" s="6">
        <f>S22+michael2024[[#Totals],[Win]]</f>
        <v>303</v>
      </c>
      <c r="T43" s="6">
        <f>T22+michael2024[[#Totals],[Losses]]</f>
        <v>241</v>
      </c>
      <c r="U43" s="7">
        <f>U22+michael2024[[#Totals],[Superdawg]]</f>
        <v>82.5</v>
      </c>
    </row>
    <row r="44" spans="2:29">
      <c r="B44" s="2"/>
      <c r="C44" s="30">
        <v>2025</v>
      </c>
      <c r="D44" s="30"/>
      <c r="E44" s="31"/>
      <c r="F44" s="2"/>
      <c r="G44" s="30">
        <v>2025</v>
      </c>
      <c r="H44" s="30"/>
      <c r="I44" s="31"/>
      <c r="J44" s="2"/>
      <c r="K44" s="30">
        <v>2025</v>
      </c>
      <c r="L44" s="30"/>
      <c r="M44" s="31"/>
      <c r="N44" s="2"/>
      <c r="O44" s="30">
        <v>2025</v>
      </c>
      <c r="P44" s="30"/>
      <c r="Q44" s="31"/>
      <c r="R44" s="2"/>
      <c r="S44" s="30">
        <v>2025</v>
      </c>
      <c r="T44" s="30"/>
      <c r="U44" s="31"/>
      <c r="W44" s="27" t="s">
        <v>30</v>
      </c>
      <c r="X44" s="27"/>
      <c r="Y44" s="27"/>
      <c r="Z44" s="27"/>
      <c r="AA44" s="27"/>
      <c r="AB44" s="27"/>
      <c r="AC44" s="27"/>
    </row>
    <row r="45" spans="2:29">
      <c r="B45" s="3" t="s">
        <v>8</v>
      </c>
      <c r="C45" t="s">
        <v>9</v>
      </c>
      <c r="D45" t="s">
        <v>10</v>
      </c>
      <c r="E45" s="4" t="s">
        <v>11</v>
      </c>
      <c r="F45" s="3" t="s">
        <v>8</v>
      </c>
      <c r="G45" t="s">
        <v>9</v>
      </c>
      <c r="H45" t="s">
        <v>10</v>
      </c>
      <c r="I45" s="4" t="s">
        <v>11</v>
      </c>
      <c r="J45" s="3" t="s">
        <v>8</v>
      </c>
      <c r="K45" t="s">
        <v>9</v>
      </c>
      <c r="L45" t="s">
        <v>10</v>
      </c>
      <c r="M45" s="4" t="s">
        <v>11</v>
      </c>
      <c r="N45" s="3" t="s">
        <v>8</v>
      </c>
      <c r="O45" t="s">
        <v>9</v>
      </c>
      <c r="P45" t="s">
        <v>10</v>
      </c>
      <c r="Q45" s="4" t="s">
        <v>11</v>
      </c>
      <c r="R45" s="3" t="s">
        <v>8</v>
      </c>
      <c r="S45" t="s">
        <v>9</v>
      </c>
      <c r="T45" t="s">
        <v>10</v>
      </c>
      <c r="U45" s="4" t="s">
        <v>11</v>
      </c>
      <c r="W45" s="27" t="s">
        <v>31</v>
      </c>
      <c r="X45" s="27"/>
      <c r="Y45" s="27"/>
      <c r="Z45" s="27"/>
      <c r="AB45" s="27" t="s">
        <v>13</v>
      </c>
      <c r="AC45" s="27"/>
    </row>
    <row r="46" spans="2:29">
      <c r="B46" s="3">
        <v>0</v>
      </c>
      <c r="C46">
        <v>3</v>
      </c>
      <c r="D46">
        <v>2</v>
      </c>
      <c r="E46" s="4">
        <v>0</v>
      </c>
      <c r="F46" s="3">
        <v>0</v>
      </c>
      <c r="G46" s="1">
        <v>4</v>
      </c>
      <c r="H46" s="1">
        <v>1</v>
      </c>
      <c r="I46" s="1">
        <v>0</v>
      </c>
      <c r="J46" s="3">
        <v>0</v>
      </c>
      <c r="K46">
        <v>3</v>
      </c>
      <c r="L46">
        <v>2</v>
      </c>
      <c r="M46" s="4">
        <v>0</v>
      </c>
      <c r="N46" s="3">
        <v>0</v>
      </c>
      <c r="O46">
        <v>4</v>
      </c>
      <c r="P46">
        <v>1</v>
      </c>
      <c r="Q46" s="4">
        <v>0</v>
      </c>
      <c r="R46" s="3">
        <v>0</v>
      </c>
      <c r="S46">
        <v>3</v>
      </c>
      <c r="T46">
        <v>2</v>
      </c>
      <c r="U46" s="4">
        <v>0</v>
      </c>
      <c r="W46" t="s">
        <v>15</v>
      </c>
      <c r="X46" t="s">
        <v>16</v>
      </c>
      <c r="Y46" t="s">
        <v>10</v>
      </c>
      <c r="Z46" s="8" t="s">
        <v>17</v>
      </c>
      <c r="AB46" t="s">
        <v>15</v>
      </c>
      <c r="AC46" t="s">
        <v>18</v>
      </c>
    </row>
    <row r="47" spans="2:29">
      <c r="B47" s="3">
        <v>1</v>
      </c>
      <c r="C47">
        <v>11</v>
      </c>
      <c r="D47">
        <v>9</v>
      </c>
      <c r="E47" s="4">
        <v>0</v>
      </c>
      <c r="F47" s="3">
        <v>1</v>
      </c>
      <c r="G47" s="1">
        <v>14</v>
      </c>
      <c r="H47" s="1">
        <v>6</v>
      </c>
      <c r="I47" s="1">
        <v>0</v>
      </c>
      <c r="J47" s="3">
        <v>1</v>
      </c>
      <c r="K47">
        <v>10</v>
      </c>
      <c r="L47">
        <v>10</v>
      </c>
      <c r="M47" s="4">
        <v>0</v>
      </c>
      <c r="N47" s="3">
        <v>1</v>
      </c>
      <c r="O47">
        <v>16</v>
      </c>
      <c r="P47">
        <v>4</v>
      </c>
      <c r="Q47" s="4">
        <v>0</v>
      </c>
      <c r="R47" s="3">
        <v>1</v>
      </c>
      <c r="S47">
        <v>15</v>
      </c>
      <c r="T47">
        <v>5</v>
      </c>
      <c r="U47" s="4">
        <v>4</v>
      </c>
      <c r="W47" s="16" t="s">
        <v>2</v>
      </c>
      <c r="X47" s="16">
        <f>robert2025[[#Totals],[Win]]</f>
        <v>220</v>
      </c>
      <c r="Y47" s="16">
        <f>robert2025[[#Totals],[Losses]]</f>
        <v>121</v>
      </c>
      <c r="Z47" s="20">
        <f>Table232628[[#This Row],[Wins]]/(Table232628[[#This Row],[Wins]]+Table232628[[#This Row],[Losses]])</f>
        <v>0.64516129032258063</v>
      </c>
      <c r="AB47" s="16" t="s">
        <v>0</v>
      </c>
      <c r="AC47" s="16">
        <f>jppp[[#Totals],[Superdawg]]</f>
        <v>52.5</v>
      </c>
    </row>
    <row r="48" spans="2:29">
      <c r="B48" s="3">
        <v>2</v>
      </c>
      <c r="C48">
        <v>9</v>
      </c>
      <c r="D48">
        <v>11</v>
      </c>
      <c r="E48" s="4">
        <v>6.5</v>
      </c>
      <c r="F48" s="3">
        <v>2</v>
      </c>
      <c r="G48" s="1">
        <v>12</v>
      </c>
      <c r="H48" s="1">
        <v>8</v>
      </c>
      <c r="I48" s="1">
        <v>6.5</v>
      </c>
      <c r="J48" s="3">
        <v>2</v>
      </c>
      <c r="K48">
        <v>7</v>
      </c>
      <c r="L48">
        <v>13</v>
      </c>
      <c r="M48" s="4">
        <v>0</v>
      </c>
      <c r="N48" s="3">
        <v>2</v>
      </c>
      <c r="O48">
        <v>13</v>
      </c>
      <c r="P48">
        <v>7</v>
      </c>
      <c r="Q48" s="4">
        <v>0</v>
      </c>
      <c r="R48" s="3">
        <v>2</v>
      </c>
      <c r="S48">
        <v>13</v>
      </c>
      <c r="T48">
        <v>7</v>
      </c>
      <c r="U48" s="4">
        <v>6.5</v>
      </c>
      <c r="W48" s="15" t="s">
        <v>4</v>
      </c>
      <c r="X48" s="15">
        <f>michael2025[[#Totals],[Win]]</f>
        <v>217</v>
      </c>
      <c r="Y48" s="15">
        <f>michael2025[[#Totals],[Losses]]</f>
        <v>124</v>
      </c>
      <c r="Z48" s="19">
        <f>Table232628[[#This Row],[Wins]]/(Table232628[[#This Row],[Wins]]+Table232628[[#This Row],[Losses]])</f>
        <v>0.63636363636363635</v>
      </c>
      <c r="AB48" s="15" t="s">
        <v>2</v>
      </c>
      <c r="AC48" s="15">
        <f>robert2025[[#Totals],[Superdawg]]</f>
        <v>50.5</v>
      </c>
    </row>
    <row r="49" spans="2:31">
      <c r="B49" s="3">
        <v>3</v>
      </c>
      <c r="C49">
        <v>9</v>
      </c>
      <c r="D49">
        <v>11</v>
      </c>
      <c r="E49" s="4">
        <v>2.5</v>
      </c>
      <c r="F49" s="3">
        <v>3</v>
      </c>
      <c r="G49" s="1">
        <v>12</v>
      </c>
      <c r="H49" s="1">
        <v>8</v>
      </c>
      <c r="I49" s="1">
        <v>9.5</v>
      </c>
      <c r="J49" s="3">
        <v>3</v>
      </c>
      <c r="K49">
        <v>10</v>
      </c>
      <c r="L49">
        <v>10</v>
      </c>
      <c r="M49" s="4">
        <v>9</v>
      </c>
      <c r="N49" s="3">
        <v>3</v>
      </c>
      <c r="O49">
        <v>13</v>
      </c>
      <c r="P49">
        <v>7</v>
      </c>
      <c r="Q49" s="4">
        <v>9.5</v>
      </c>
      <c r="R49" s="3">
        <v>3</v>
      </c>
      <c r="S49">
        <v>13</v>
      </c>
      <c r="T49">
        <v>7</v>
      </c>
      <c r="U49" s="4">
        <v>7.5</v>
      </c>
      <c r="W49" s="17" t="s">
        <v>3</v>
      </c>
      <c r="X49" s="17">
        <f>jackson2025[[#Totals],[Win]]</f>
        <v>214</v>
      </c>
      <c r="Y49" s="17">
        <f>jackson2025[[#Totals],[Losses]]</f>
        <v>127</v>
      </c>
      <c r="Z49" s="18">
        <f>Table232628[[#This Row],[Wins]]/(Table232628[[#This Row],[Wins]]+Table232628[[#This Row],[Losses]])</f>
        <v>0.62756598240469208</v>
      </c>
      <c r="AB49" s="17" t="s">
        <v>4</v>
      </c>
      <c r="AC49" s="17">
        <f>michael2025[[#Totals],[Superdawg]]</f>
        <v>47.5</v>
      </c>
    </row>
    <row r="50" spans="2:31">
      <c r="B50" s="3">
        <v>4</v>
      </c>
      <c r="C50">
        <v>15</v>
      </c>
      <c r="D50">
        <v>5</v>
      </c>
      <c r="E50" s="4">
        <v>4.5</v>
      </c>
      <c r="F50" s="3">
        <v>4</v>
      </c>
      <c r="G50" s="1">
        <v>13</v>
      </c>
      <c r="H50" s="1">
        <v>7</v>
      </c>
      <c r="I50" s="1">
        <v>0</v>
      </c>
      <c r="J50" s="3">
        <v>4</v>
      </c>
      <c r="K50">
        <v>15</v>
      </c>
      <c r="L50">
        <v>5</v>
      </c>
      <c r="M50" s="4">
        <v>0</v>
      </c>
      <c r="N50" s="3">
        <v>4</v>
      </c>
      <c r="O50">
        <v>13</v>
      </c>
      <c r="P50">
        <v>7</v>
      </c>
      <c r="Q50" s="4">
        <v>0</v>
      </c>
      <c r="R50" s="3">
        <v>4</v>
      </c>
      <c r="S50">
        <v>14</v>
      </c>
      <c r="T50">
        <v>6</v>
      </c>
      <c r="U50" s="4">
        <v>8.5</v>
      </c>
      <c r="W50" t="s">
        <v>1</v>
      </c>
      <c r="X50">
        <f>jack2025[[#Totals],[Win]]</f>
        <v>211</v>
      </c>
      <c r="Y50">
        <f>jack2025[[#Totals],[Losses]]</f>
        <v>130</v>
      </c>
      <c r="Z50" s="8">
        <f>Table232628[[#This Row],[Wins]]/(Table232628[[#This Row],[Wins]]+Table232628[[#This Row],[Losses]])</f>
        <v>0.61876832844574781</v>
      </c>
      <c r="AB50" t="s">
        <v>1</v>
      </c>
      <c r="AC50">
        <f>jack2025[[#Totals],[Superdawg]]</f>
        <v>23</v>
      </c>
    </row>
    <row r="51" spans="2:31">
      <c r="B51" s="3">
        <v>5</v>
      </c>
      <c r="C51">
        <v>13</v>
      </c>
      <c r="D51">
        <v>7</v>
      </c>
      <c r="E51" s="4">
        <v>0</v>
      </c>
      <c r="F51" s="3">
        <v>5</v>
      </c>
      <c r="G51" s="1">
        <v>13</v>
      </c>
      <c r="H51" s="1">
        <v>7</v>
      </c>
      <c r="I51" s="1">
        <v>0</v>
      </c>
      <c r="J51" s="3">
        <v>5</v>
      </c>
      <c r="K51">
        <v>15</v>
      </c>
      <c r="L51">
        <v>5</v>
      </c>
      <c r="M51" s="4">
        <v>0</v>
      </c>
      <c r="N51" s="3">
        <v>5</v>
      </c>
      <c r="O51">
        <v>14</v>
      </c>
      <c r="P51">
        <v>6</v>
      </c>
      <c r="Q51" s="4">
        <v>0.5</v>
      </c>
      <c r="R51" s="3">
        <v>5</v>
      </c>
      <c r="S51">
        <v>15</v>
      </c>
      <c r="T51">
        <v>5</v>
      </c>
      <c r="U51" s="4">
        <v>0</v>
      </c>
      <c r="W51" t="s">
        <v>0</v>
      </c>
      <c r="X51">
        <f>jppp[[#Totals],[Win]]</f>
        <v>195</v>
      </c>
      <c r="Y51">
        <f>jppp[[#Totals],[Losses]]</f>
        <v>146</v>
      </c>
      <c r="Z51" s="8">
        <f>Table232628[[#This Row],[Wins]]/(Table232628[[#This Row],[Wins]]+Table232628[[#This Row],[Losses]])</f>
        <v>0.57184750733137835</v>
      </c>
      <c r="AB51" t="s">
        <v>3</v>
      </c>
      <c r="AC51">
        <f>jackson2025[[#Totals],[Superdawg]]</f>
        <v>11.5</v>
      </c>
    </row>
    <row r="52" spans="2:31">
      <c r="B52" s="3">
        <v>6</v>
      </c>
      <c r="C52">
        <v>14</v>
      </c>
      <c r="D52">
        <v>6</v>
      </c>
      <c r="E52" s="4">
        <v>5.5</v>
      </c>
      <c r="F52" s="3">
        <v>6</v>
      </c>
      <c r="G52" s="1">
        <v>15</v>
      </c>
      <c r="H52" s="1">
        <v>5</v>
      </c>
      <c r="I52" s="1">
        <v>6.5</v>
      </c>
      <c r="J52" s="3">
        <v>6</v>
      </c>
      <c r="K52">
        <v>13</v>
      </c>
      <c r="L52">
        <v>7</v>
      </c>
      <c r="M52" s="4">
        <v>6.5</v>
      </c>
      <c r="N52" s="3">
        <v>6</v>
      </c>
      <c r="O52">
        <v>15</v>
      </c>
      <c r="P52">
        <v>5</v>
      </c>
      <c r="Q52" s="4">
        <v>1.5</v>
      </c>
      <c r="R52" s="3">
        <v>6</v>
      </c>
      <c r="S52">
        <v>16</v>
      </c>
      <c r="T52">
        <v>4</v>
      </c>
      <c r="U52" s="4">
        <v>6.5</v>
      </c>
    </row>
    <row r="53" spans="2:31">
      <c r="B53" s="3">
        <v>7</v>
      </c>
      <c r="C53">
        <v>12</v>
      </c>
      <c r="D53">
        <v>8</v>
      </c>
      <c r="E53" s="4">
        <v>0</v>
      </c>
      <c r="F53" s="3">
        <v>7</v>
      </c>
      <c r="G53" s="1">
        <v>11</v>
      </c>
      <c r="H53" s="1">
        <v>9</v>
      </c>
      <c r="I53" s="1">
        <v>0</v>
      </c>
      <c r="J53" s="3">
        <v>7</v>
      </c>
      <c r="K53">
        <v>13</v>
      </c>
      <c r="L53">
        <v>7</v>
      </c>
      <c r="M53" s="4">
        <v>7.5</v>
      </c>
      <c r="N53" s="3">
        <v>7</v>
      </c>
      <c r="O53">
        <v>12</v>
      </c>
      <c r="P53">
        <v>8</v>
      </c>
      <c r="Q53" s="4">
        <v>0</v>
      </c>
      <c r="R53" s="3">
        <v>7</v>
      </c>
      <c r="S53">
        <v>13</v>
      </c>
      <c r="T53">
        <v>7</v>
      </c>
      <c r="U53" s="4">
        <v>0</v>
      </c>
      <c r="W53" s="27" t="s">
        <v>32</v>
      </c>
      <c r="X53" s="27"/>
      <c r="Y53" s="27"/>
      <c r="Z53" s="27"/>
      <c r="AB53" s="27" t="s">
        <v>33</v>
      </c>
      <c r="AC53" s="27"/>
      <c r="AD53" s="27"/>
      <c r="AE53" s="27"/>
    </row>
    <row r="54" spans="2:31">
      <c r="B54" s="3">
        <v>8</v>
      </c>
      <c r="C54">
        <v>14</v>
      </c>
      <c r="D54">
        <v>6</v>
      </c>
      <c r="E54" s="4">
        <v>13.5</v>
      </c>
      <c r="F54" s="3">
        <v>8</v>
      </c>
      <c r="G54" s="1">
        <v>11</v>
      </c>
      <c r="H54" s="1">
        <v>9</v>
      </c>
      <c r="I54" s="1">
        <v>0</v>
      </c>
      <c r="J54" s="3">
        <v>8</v>
      </c>
      <c r="K54">
        <v>10</v>
      </c>
      <c r="L54">
        <v>10</v>
      </c>
      <c r="M54" s="4">
        <v>9.5</v>
      </c>
      <c r="N54" s="3">
        <v>8</v>
      </c>
      <c r="O54">
        <v>12</v>
      </c>
      <c r="P54">
        <v>8</v>
      </c>
      <c r="Q54" s="4">
        <v>0</v>
      </c>
      <c r="R54" s="3">
        <v>8</v>
      </c>
      <c r="S54">
        <v>11</v>
      </c>
      <c r="T54">
        <v>9</v>
      </c>
      <c r="U54" s="4">
        <v>0</v>
      </c>
      <c r="W54" t="s">
        <v>15</v>
      </c>
      <c r="X54" t="s">
        <v>16</v>
      </c>
      <c r="Y54" t="s">
        <v>10</v>
      </c>
      <c r="Z54" s="8" t="s">
        <v>17</v>
      </c>
      <c r="AB54" t="s">
        <v>15</v>
      </c>
      <c r="AC54" t="s">
        <v>16</v>
      </c>
      <c r="AD54" t="s">
        <v>10</v>
      </c>
      <c r="AE54" s="8" t="s">
        <v>17</v>
      </c>
    </row>
    <row r="55" spans="2:31">
      <c r="B55" s="3">
        <v>9</v>
      </c>
      <c r="C55">
        <v>11</v>
      </c>
      <c r="D55">
        <v>9</v>
      </c>
      <c r="E55" s="4">
        <v>0</v>
      </c>
      <c r="F55" s="3">
        <v>9</v>
      </c>
      <c r="G55" s="1">
        <v>12</v>
      </c>
      <c r="H55" s="1">
        <v>8</v>
      </c>
      <c r="I55" s="1">
        <v>0</v>
      </c>
      <c r="J55" s="3">
        <v>9</v>
      </c>
      <c r="K55">
        <v>14</v>
      </c>
      <c r="L55">
        <v>6</v>
      </c>
      <c r="M55" s="4">
        <v>8.5</v>
      </c>
      <c r="N55" s="3">
        <v>9</v>
      </c>
      <c r="O55">
        <v>10</v>
      </c>
      <c r="P55">
        <v>10</v>
      </c>
      <c r="Q55" s="4">
        <v>0</v>
      </c>
      <c r="R55" s="3">
        <v>9</v>
      </c>
      <c r="S55">
        <v>11</v>
      </c>
      <c r="T55">
        <v>9</v>
      </c>
      <c r="U55" s="4">
        <v>0</v>
      </c>
      <c r="W55" s="16" t="s">
        <v>4</v>
      </c>
      <c r="X55" s="16">
        <f>SUM(S46:S61)</f>
        <v>191</v>
      </c>
      <c r="Y55" s="16">
        <f>SUM(T46:T61)</f>
        <v>103</v>
      </c>
      <c r="Z55" s="20">
        <f>Table23262814[[#This Row],[Wins]]/(Table23262814[[#This Row],[Wins]]+Table23262814[[#This Row],[Losses]])</f>
        <v>0.64965986394557829</v>
      </c>
      <c r="AB55" s="16" t="s">
        <v>2</v>
      </c>
      <c r="AC55" s="16">
        <f>$K$62</f>
        <v>35</v>
      </c>
      <c r="AD55" s="16">
        <f>$L$62</f>
        <v>12</v>
      </c>
      <c r="AE55" s="20">
        <f>Table23262813[[#This Row],[Wins]]/(Table23262813[[#This Row],[Wins]]+Table23262813[[#This Row],[Losses]])</f>
        <v>0.74468085106382975</v>
      </c>
    </row>
    <row r="56" spans="2:31">
      <c r="B56" s="3">
        <v>10</v>
      </c>
      <c r="C56">
        <v>10</v>
      </c>
      <c r="D56">
        <v>10</v>
      </c>
      <c r="E56" s="4">
        <v>0</v>
      </c>
      <c r="F56" s="3">
        <v>10</v>
      </c>
      <c r="G56" s="1">
        <v>8</v>
      </c>
      <c r="H56" s="1">
        <v>12</v>
      </c>
      <c r="I56" s="1">
        <v>0</v>
      </c>
      <c r="J56" s="3">
        <v>10</v>
      </c>
      <c r="K56">
        <v>15</v>
      </c>
      <c r="L56">
        <v>5</v>
      </c>
      <c r="M56" s="4">
        <v>3.5</v>
      </c>
      <c r="N56" s="3">
        <v>10</v>
      </c>
      <c r="O56">
        <v>10</v>
      </c>
      <c r="P56">
        <v>10</v>
      </c>
      <c r="Q56" s="4">
        <v>0</v>
      </c>
      <c r="R56" s="3">
        <v>10</v>
      </c>
      <c r="S56">
        <v>10</v>
      </c>
      <c r="T56">
        <v>10</v>
      </c>
      <c r="U56" s="4">
        <v>2.5</v>
      </c>
      <c r="W56" s="15" t="s">
        <v>3</v>
      </c>
      <c r="X56" s="15">
        <f>SUM(O46:O61)</f>
        <v>188</v>
      </c>
      <c r="Y56" s="15">
        <f>SUM(P46:P61)</f>
        <v>106</v>
      </c>
      <c r="Z56" s="19">
        <f>Table23262814[[#This Row],[Wins]]/(Table23262814[[#This Row],[Wins]]+Table23262814[[#This Row],[Losses]])</f>
        <v>0.63945578231292521</v>
      </c>
      <c r="AB56" s="15" t="s">
        <v>1</v>
      </c>
      <c r="AC56" s="15">
        <f>$G$62</f>
        <v>28</v>
      </c>
      <c r="AD56" s="15">
        <f>$H$62</f>
        <v>19</v>
      </c>
      <c r="AE56" s="19">
        <f>Table23262813[[#This Row],[Wins]]/(Table23262813[[#This Row],[Wins]]+Table23262813[[#This Row],[Losses]])</f>
        <v>0.5957446808510638</v>
      </c>
    </row>
    <row r="57" spans="2:31">
      <c r="B57" s="3">
        <v>11</v>
      </c>
      <c r="C57">
        <v>10</v>
      </c>
      <c r="D57">
        <v>10</v>
      </c>
      <c r="E57" s="4">
        <v>13.5</v>
      </c>
      <c r="F57" s="3">
        <v>11</v>
      </c>
      <c r="G57" s="1">
        <v>13</v>
      </c>
      <c r="H57" s="1">
        <v>7</v>
      </c>
      <c r="I57" s="1">
        <v>0.5</v>
      </c>
      <c r="J57" s="3">
        <v>11</v>
      </c>
      <c r="K57">
        <v>13</v>
      </c>
      <c r="L57">
        <v>7</v>
      </c>
      <c r="M57" s="4">
        <v>0</v>
      </c>
      <c r="N57" s="3">
        <v>11</v>
      </c>
      <c r="O57">
        <v>11</v>
      </c>
      <c r="P57">
        <v>9</v>
      </c>
      <c r="Q57" s="4">
        <v>0</v>
      </c>
      <c r="R57" s="3">
        <v>11</v>
      </c>
      <c r="S57">
        <v>14</v>
      </c>
      <c r="T57">
        <v>6</v>
      </c>
      <c r="U57" s="4">
        <v>0</v>
      </c>
      <c r="W57" s="17" t="s">
        <v>2</v>
      </c>
      <c r="X57" s="17">
        <f>SUM(K46:K61)</f>
        <v>185</v>
      </c>
      <c r="Y57" s="17">
        <f>SUM(L46:L61)</f>
        <v>109</v>
      </c>
      <c r="Z57" s="18">
        <f>Table23262814[[#This Row],[Wins]]/(Table23262814[[#This Row],[Wins]]+Table23262814[[#This Row],[Losses]])</f>
        <v>0.62925170068027214</v>
      </c>
      <c r="AB57" s="17" t="s">
        <v>4</v>
      </c>
      <c r="AC57" s="17">
        <f>$S$62</f>
        <v>26</v>
      </c>
      <c r="AD57" s="17">
        <f>$T$62</f>
        <v>21</v>
      </c>
      <c r="AE57" s="18">
        <f>Table23262813[[#This Row],[Wins]]/(Table23262813[[#This Row],[Wins]]+Table23262813[[#This Row],[Losses]])</f>
        <v>0.55319148936170215</v>
      </c>
    </row>
    <row r="58" spans="2:31">
      <c r="B58" s="3">
        <v>12</v>
      </c>
      <c r="C58">
        <v>14</v>
      </c>
      <c r="D58">
        <v>6</v>
      </c>
      <c r="E58" s="4">
        <v>0</v>
      </c>
      <c r="F58" s="3">
        <v>12</v>
      </c>
      <c r="G58" s="1">
        <v>13</v>
      </c>
      <c r="H58" s="1">
        <v>7</v>
      </c>
      <c r="I58" s="1">
        <v>0</v>
      </c>
      <c r="J58" s="3">
        <v>12</v>
      </c>
      <c r="K58">
        <v>13</v>
      </c>
      <c r="L58">
        <v>7</v>
      </c>
      <c r="M58" s="4">
        <v>3.5</v>
      </c>
      <c r="N58" s="3">
        <v>12</v>
      </c>
      <c r="O58">
        <v>11</v>
      </c>
      <c r="P58">
        <v>9</v>
      </c>
      <c r="Q58" s="4">
        <v>0</v>
      </c>
      <c r="R58" s="3">
        <v>12</v>
      </c>
      <c r="S58">
        <v>13</v>
      </c>
      <c r="T58">
        <v>7</v>
      </c>
      <c r="U58" s="4">
        <v>6.5</v>
      </c>
      <c r="W58" t="s">
        <v>1</v>
      </c>
      <c r="X58">
        <f>SUM(G46:G61)</f>
        <v>183</v>
      </c>
      <c r="Y58">
        <f>SUM(H46:H61)</f>
        <v>111</v>
      </c>
      <c r="Z58" s="8">
        <f>Table23262814[[#This Row],[Wins]]/(Table23262814[[#This Row],[Wins]]+Table23262814[[#This Row],[Losses]])</f>
        <v>0.62244897959183676</v>
      </c>
      <c r="AB58" t="s">
        <v>3</v>
      </c>
      <c r="AC58">
        <f>$O$62</f>
        <v>26</v>
      </c>
      <c r="AD58">
        <f>$P$62</f>
        <v>21</v>
      </c>
      <c r="AE58" s="8">
        <f>Table23262813[[#This Row],[Wins]]/(Table23262813[[#This Row],[Wins]]+Table23262813[[#This Row],[Losses]])</f>
        <v>0.55319148936170215</v>
      </c>
    </row>
    <row r="59" spans="2:31">
      <c r="B59" s="3">
        <v>13</v>
      </c>
      <c r="C59">
        <v>12</v>
      </c>
      <c r="D59">
        <v>8</v>
      </c>
      <c r="E59" s="4">
        <v>0</v>
      </c>
      <c r="F59" s="3">
        <v>13</v>
      </c>
      <c r="G59" s="1">
        <v>14</v>
      </c>
      <c r="H59" s="1">
        <v>6</v>
      </c>
      <c r="I59" s="1">
        <v>0</v>
      </c>
      <c r="J59" s="3">
        <v>13</v>
      </c>
      <c r="K59">
        <v>15</v>
      </c>
      <c r="L59">
        <v>5</v>
      </c>
      <c r="M59" s="4">
        <v>0</v>
      </c>
      <c r="N59" s="3">
        <v>13</v>
      </c>
      <c r="O59">
        <v>15</v>
      </c>
      <c r="P59">
        <v>5</v>
      </c>
      <c r="Q59" s="4">
        <v>0</v>
      </c>
      <c r="R59" s="3">
        <v>13</v>
      </c>
      <c r="S59">
        <v>12</v>
      </c>
      <c r="T59">
        <v>8</v>
      </c>
      <c r="U59" s="4">
        <v>0</v>
      </c>
      <c r="W59" t="s">
        <v>0</v>
      </c>
      <c r="X59">
        <f>SUM(C46:C61)</f>
        <v>170</v>
      </c>
      <c r="Y59">
        <f>SUM(D46:D61)</f>
        <v>124</v>
      </c>
      <c r="Z59" s="8">
        <f>Table23262814[[#This Row],[Wins]]/(Table23262814[[#This Row],[Wins]]+Table23262814[[#This Row],[Losses]])</f>
        <v>0.57823129251700678</v>
      </c>
      <c r="AB59" t="s">
        <v>0</v>
      </c>
      <c r="AC59">
        <f>$C$62</f>
        <v>25</v>
      </c>
      <c r="AD59">
        <f>$D$62</f>
        <v>22</v>
      </c>
      <c r="AE59" s="8">
        <f>Table23262813[[#This Row],[Wins]]/(Table23262813[[#This Row],[Wins]]+Table23262813[[#This Row],[Losses]])</f>
        <v>0.53191489361702127</v>
      </c>
    </row>
    <row r="60" spans="2:31">
      <c r="B60" s="3">
        <v>14</v>
      </c>
      <c r="C60">
        <v>9</v>
      </c>
      <c r="D60">
        <v>11</v>
      </c>
      <c r="E60" s="4">
        <v>6.5</v>
      </c>
      <c r="F60" s="3">
        <v>14</v>
      </c>
      <c r="G60" s="1">
        <v>14</v>
      </c>
      <c r="H60" s="1">
        <v>6</v>
      </c>
      <c r="I60" s="1">
        <v>0</v>
      </c>
      <c r="J60" s="3">
        <v>14</v>
      </c>
      <c r="K60">
        <v>15</v>
      </c>
      <c r="L60">
        <v>5</v>
      </c>
      <c r="M60" s="4">
        <v>2.5</v>
      </c>
      <c r="N60" s="3">
        <v>14</v>
      </c>
      <c r="O60">
        <v>14</v>
      </c>
      <c r="P60">
        <v>6</v>
      </c>
      <c r="Q60" s="4">
        <v>0</v>
      </c>
      <c r="R60" s="3">
        <v>14</v>
      </c>
      <c r="S60">
        <v>13</v>
      </c>
      <c r="T60">
        <v>7</v>
      </c>
      <c r="U60" s="4">
        <v>5.5</v>
      </c>
    </row>
    <row r="61" spans="2:31">
      <c r="B61" s="3" t="s">
        <v>26</v>
      </c>
      <c r="C61">
        <v>4</v>
      </c>
      <c r="D61">
        <v>5</v>
      </c>
      <c r="E61" s="4"/>
      <c r="F61" s="3" t="s">
        <v>26</v>
      </c>
      <c r="G61" s="1">
        <v>4</v>
      </c>
      <c r="H61" s="1">
        <v>5</v>
      </c>
      <c r="I61" s="1"/>
      <c r="J61" s="3" t="s">
        <v>26</v>
      </c>
      <c r="K61">
        <v>4</v>
      </c>
      <c r="L61">
        <v>5</v>
      </c>
      <c r="M61" s="4"/>
      <c r="N61" s="3" t="s">
        <v>26</v>
      </c>
      <c r="O61">
        <v>5</v>
      </c>
      <c r="P61">
        <v>4</v>
      </c>
      <c r="Q61" s="4"/>
      <c r="R61" s="3" t="s">
        <v>26</v>
      </c>
      <c r="S61">
        <v>5</v>
      </c>
      <c r="T61">
        <v>4</v>
      </c>
      <c r="U61" s="4"/>
    </row>
    <row r="62" spans="2:31">
      <c r="B62" s="3" t="s">
        <v>23</v>
      </c>
      <c r="C62">
        <v>25</v>
      </c>
      <c r="D62">
        <v>22</v>
      </c>
      <c r="E62" s="4"/>
      <c r="F62" s="3" t="s">
        <v>23</v>
      </c>
      <c r="G62" s="1">
        <v>28</v>
      </c>
      <c r="H62" s="1">
        <v>19</v>
      </c>
      <c r="I62" s="1"/>
      <c r="J62" s="3" t="s">
        <v>23</v>
      </c>
      <c r="K62">
        <v>35</v>
      </c>
      <c r="L62">
        <v>12</v>
      </c>
      <c r="M62" s="4"/>
      <c r="N62" s="3" t="s">
        <v>23</v>
      </c>
      <c r="O62">
        <v>26</v>
      </c>
      <c r="P62">
        <v>21</v>
      </c>
      <c r="Q62" s="4"/>
      <c r="R62" s="3" t="s">
        <v>23</v>
      </c>
      <c r="S62">
        <v>26</v>
      </c>
      <c r="T62">
        <v>21</v>
      </c>
      <c r="U62" s="4"/>
    </row>
    <row r="63" spans="2:31">
      <c r="B63" s="3" t="s">
        <v>27</v>
      </c>
      <c r="C63">
        <f>SUBTOTAL(109,jppp[Win])</f>
        <v>195</v>
      </c>
      <c r="D63">
        <f>SUBTOTAL(109,jppp[Losses])</f>
        <v>146</v>
      </c>
      <c r="E63" s="4">
        <f>SUBTOTAL(109,jppp[Superdawg])</f>
        <v>52.5</v>
      </c>
      <c r="F63" s="3" t="s">
        <v>27</v>
      </c>
      <c r="G63">
        <f>SUBTOTAL(109,jack2025[Win])</f>
        <v>211</v>
      </c>
      <c r="H63">
        <f>SUBTOTAL(109,jack2025[Losses])</f>
        <v>130</v>
      </c>
      <c r="I63" s="4">
        <f>SUBTOTAL(109,jack2025[Superdawg])</f>
        <v>23</v>
      </c>
      <c r="J63" s="3" t="s">
        <v>27</v>
      </c>
      <c r="K63">
        <f>SUBTOTAL(109,robert2025[Win])</f>
        <v>220</v>
      </c>
      <c r="L63">
        <f>SUBTOTAL(109,robert2025[Losses])</f>
        <v>121</v>
      </c>
      <c r="M63" s="4">
        <f>SUBTOTAL(109,robert2025[Superdawg])</f>
        <v>50.5</v>
      </c>
      <c r="N63" s="3" t="s">
        <v>27</v>
      </c>
      <c r="O63">
        <f>SUBTOTAL(109,jackson2025[Win])</f>
        <v>214</v>
      </c>
      <c r="P63">
        <f>SUBTOTAL(109,jackson2025[Losses])</f>
        <v>127</v>
      </c>
      <c r="Q63" s="4">
        <f>SUBTOTAL(109,jackson2025[Superdawg])</f>
        <v>11.5</v>
      </c>
      <c r="R63" s="3" t="s">
        <v>27</v>
      </c>
      <c r="S63">
        <f>SUBTOTAL(109,michael2025[Win])</f>
        <v>217</v>
      </c>
      <c r="T63">
        <f>SUBTOTAL(109,michael2025[Losses])</f>
        <v>124</v>
      </c>
      <c r="U63" s="4">
        <f>SUBTOTAL(109,michael2025[Superdawg])</f>
        <v>47.5</v>
      </c>
    </row>
    <row r="64" spans="2:31">
      <c r="B64" s="5" t="s">
        <v>28</v>
      </c>
      <c r="C64" s="6">
        <f>jppp[[#Totals],[Win]]+C43</f>
        <v>534</v>
      </c>
      <c r="D64" s="6">
        <f>jppp[[#Totals],[Losses]]+D43</f>
        <v>351</v>
      </c>
      <c r="E64" s="7">
        <f>jppp[[#Totals],[Superdawg]]+E43</f>
        <v>168.5</v>
      </c>
      <c r="F64" s="5" t="s">
        <v>28</v>
      </c>
      <c r="G64" s="6">
        <f>G43+jack2025[[#Totals],[Win]]</f>
        <v>557</v>
      </c>
      <c r="H64" s="6">
        <f>H43+jack2025[[#Totals],[Losses]]</f>
        <v>328</v>
      </c>
      <c r="I64" s="7">
        <f>I43+jack2025[[#Totals],[Superdawg]]</f>
        <v>86.5</v>
      </c>
      <c r="J64" s="5" t="s">
        <v>28</v>
      </c>
      <c r="K64" s="6">
        <f>K43+robert2025[[#Totals],[Win]]</f>
        <v>541</v>
      </c>
      <c r="L64" s="6">
        <f>L43+robert2025[[#Totals],[Losses]]</f>
        <v>344</v>
      </c>
      <c r="M64" s="7">
        <f>M43+robert2025[[#Totals],[Superdawg]]</f>
        <v>153.5</v>
      </c>
      <c r="N64" s="5" t="s">
        <v>28</v>
      </c>
      <c r="O64" s="6">
        <f>O43+jackson2025[[#Totals],[Win]]</f>
        <v>534</v>
      </c>
      <c r="P64" s="6">
        <f>P43+jackson2025[[#Totals],[Losses]]</f>
        <v>351</v>
      </c>
      <c r="Q64" s="7">
        <f>Q43+jackson2025[[#Totals],[Superdawg]]</f>
        <v>82</v>
      </c>
      <c r="R64" s="5" t="s">
        <v>28</v>
      </c>
      <c r="S64" s="6">
        <f>S43+michael2025[[#Totals],[Win]]</f>
        <v>520</v>
      </c>
      <c r="T64" s="6">
        <f>T43+michael2025[[#Totals],[Losses]]</f>
        <v>365</v>
      </c>
      <c r="U64" s="7">
        <f>U43+michael2025[[#Totals],[Superdawg]]</f>
        <v>130</v>
      </c>
    </row>
  </sheetData>
  <mergeCells count="35">
    <mergeCell ref="C44:E44"/>
    <mergeCell ref="G44:I44"/>
    <mergeCell ref="AB53:AE53"/>
    <mergeCell ref="W53:Z53"/>
    <mergeCell ref="C3:E3"/>
    <mergeCell ref="G3:I3"/>
    <mergeCell ref="K3:M3"/>
    <mergeCell ref="O3:Q3"/>
    <mergeCell ref="S3:U3"/>
    <mergeCell ref="K44:M44"/>
    <mergeCell ref="O44:Q44"/>
    <mergeCell ref="S44:U44"/>
    <mergeCell ref="C23:E23"/>
    <mergeCell ref="G23:I23"/>
    <mergeCell ref="C2:E2"/>
    <mergeCell ref="G2:I2"/>
    <mergeCell ref="K2:M2"/>
    <mergeCell ref="O2:Q2"/>
    <mergeCell ref="S2:U2"/>
    <mergeCell ref="AJ4:AK4"/>
    <mergeCell ref="K23:M23"/>
    <mergeCell ref="O23:Q23"/>
    <mergeCell ref="W44:AC44"/>
    <mergeCell ref="W45:Z45"/>
    <mergeCell ref="AB45:AC45"/>
    <mergeCell ref="W23:AC23"/>
    <mergeCell ref="W24:Z24"/>
    <mergeCell ref="AB24:AC24"/>
    <mergeCell ref="S23:U23"/>
    <mergeCell ref="AE12:AI12"/>
    <mergeCell ref="W3:AC3"/>
    <mergeCell ref="W4:Z4"/>
    <mergeCell ref="AB4:AC4"/>
    <mergeCell ref="AE4:AH4"/>
    <mergeCell ref="AE3:AK3"/>
  </mergeCells>
  <pageMargins left="0.7" right="0.7" top="0.75" bottom="0.75" header="0.3" footer="0.3"/>
  <ignoredErrors>
    <ignoredError sqref="X6 X9:X10 X26:Y30 AF6:AG10 X47:Y51 AC55:AC59" calculatedColumn="1"/>
    <ignoredError sqref="Y55 X59:Y59 X55:X58 Y56:Y58" formulaRange="1" calculatedColumn="1"/>
  </ignoredErrors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36BD-4266-1B4D-8CF5-063F538AC94C}">
  <dimension ref="A3:F3"/>
  <sheetViews>
    <sheetView zoomScaleNormal="100" zoomScaleSheetLayoutView="100" workbookViewId="0">
      <selection activeCell="C10" sqref="C10"/>
    </sheetView>
  </sheetViews>
  <sheetFormatPr defaultColWidth="8.85546875" defaultRowHeight="15"/>
  <cols>
    <col min="1" max="1" width="11.28515625" bestFit="1" customWidth="1"/>
  </cols>
  <sheetData>
    <row r="3" spans="1:6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</row>
  </sheetData>
  <phoneticPr fontId="1" alignment="center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8D936B6CB22542A384D8A36631E82D" ma:contentTypeVersion="12" ma:contentTypeDescription="Create a new document." ma:contentTypeScope="" ma:versionID="d941aa42daa05095196667cd7a3bfff7">
  <xsd:schema xmlns:xsd="http://www.w3.org/2001/XMLSchema" xmlns:xs="http://www.w3.org/2001/XMLSchema" xmlns:p="http://schemas.microsoft.com/office/2006/metadata/properties" xmlns:ns3="94f04f3c-b54f-44f0-8d9c-900ed224865b" targetNamespace="http://schemas.microsoft.com/office/2006/metadata/properties" ma:root="true" ma:fieldsID="0284376d63988ef81987fdc8a013c995" ns3:_="">
    <xsd:import namespace="94f04f3c-b54f-44f0-8d9c-900ed22486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04f3c-b54f-44f0-8d9c-900ed22486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04f3c-b54f-44f0-8d9c-900ed22486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71C78F-1F90-4119-830A-80B96A89B3D0}"/>
</file>

<file path=customXml/itemProps2.xml><?xml version="1.0" encoding="utf-8"?>
<ds:datastoreItem xmlns:ds="http://schemas.openxmlformats.org/officeDocument/2006/customXml" ds:itemID="{D45FB6D7-16F6-4A8E-A99B-829D8BEDECBB}"/>
</file>

<file path=customXml/itemProps3.xml><?xml version="1.0" encoding="utf-8"?>
<ds:datastoreItem xmlns:ds="http://schemas.openxmlformats.org/officeDocument/2006/customXml" ds:itemID="{DCD93A83-4FF5-4DCD-B653-5FC851209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Evan Liollio</dc:creator>
  <cp:keywords/>
  <dc:description/>
  <cp:lastModifiedBy>Robert Liollio</cp:lastModifiedBy>
  <cp:revision/>
  <dcterms:created xsi:type="dcterms:W3CDTF">2025-09-28T15:08:55Z</dcterms:created>
  <dcterms:modified xsi:type="dcterms:W3CDTF">2026-08-24T22:08:47Z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0x0101001A8D936B6CB22542A384D8A36631E82D</vt:lpwstr>
  </property>
</Properties>
</file>